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2a3a47b26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4d9f9654d90471d"/>
    <x:sheet xmlns:r="http://schemas.openxmlformats.org/officeDocument/2006/relationships" name="Experiment Metadata" sheetId="2" r:id="R04d07deb489e41da"/>
    <x:sheet xmlns:r="http://schemas.openxmlformats.org/officeDocument/2006/relationships" name="Raw Measurements" sheetId="3" r:id="Rbcd80e3741c9481e"/>
    <x:sheet xmlns:r="http://schemas.openxmlformats.org/officeDocument/2006/relationships" name="Calculations" sheetId="4" r:id="Rc3eb403ac0e9434d"/>
    <x:sheet xmlns:r="http://schemas.openxmlformats.org/officeDocument/2006/relationships" name="Results" sheetId="5" r:id="R2d935a02dfbe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"/>
    <x:numFmt numFmtId="202" formatCode="0.000"/>
  </x:numFmts>
  <x:fonts count="12">
    <x:font>
      <x:sz val="11"/>
      <x:name val="Carlito"/>
    </x:font>
    <x:font>
      <x:sz val="10"/>
      <x:color rgb="FF191F1B"/>
      <x:name val="Aptos"/>
    </x:font>
    <x:font>
      <x:b/>
      <x:sz val="20"/>
      <x:color rgb="FFFFFFFF"/>
      <x:name val="Georgia"/>
    </x:font>
    <x:font>
      <x:b/>
      <x:sz val="9"/>
      <x:color rgb="FFFFFFFF"/>
      <x:name val="Aptos"/>
    </x:font>
    <x:font>
      <x:b/>
      <x:sz val="10"/>
      <x:color rgb="FF174EE6"/>
      <x:name val="Aptos"/>
    </x:font>
    <x:font>
      <x:b/>
      <x:sz val="10"/>
      <x:color rgb="FF191F1B"/>
      <x:name val="Aptos"/>
    </x:font>
    <x:font>
      <x:sz val="10"/>
      <x:color rgb="FF174EE6"/>
      <x:name val="Aptos"/>
    </x:font>
    <x:font>
      <x:sz val="10"/>
      <x:color rgb="FF5C625D"/>
      <x:name val="Aptos"/>
    </x:font>
    <x:font>
      <x:i/>
      <x:sz val="10"/>
      <x:color rgb="FF5C625D"/>
      <x:name val="Aptos"/>
    </x:font>
    <x:font>
      <x:b/>
      <x:sz val="16"/>
      <x:color rgb="FF174EE6"/>
      <x:name val="Georgia"/>
    </x:font>
    <x:font>
      <x:b/>
      <x:sz val="10"/>
      <x:color rgb="FF27714F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F4F1E8"/>
      </x:patternFill>
    </x:fill>
    <x:fill>
      <x:patternFill patternType="solid">
        <x:fgColor rgb="FF191F1B"/>
      </x:patternFill>
    </x:fill>
    <x:fill>
      <x:patternFill patternType="solid">
        <x:fgColor rgb="FF174EE6"/>
      </x:patternFill>
    </x:fill>
    <x:fill>
      <x:patternFill patternType="solid">
        <x:fgColor rgb="FFDFE7FF"/>
      </x:patternFill>
    </x:fill>
    <x:fill>
      <x:patternFill patternType="solid">
        <x:fgColor rgb="FFE8E5DC"/>
      </x:patternFill>
    </x:fill>
    <x:fill>
      <x:patternFill patternType="solid">
        <x:fgColor rgb="FFFFFFFF"/>
      </x:patternFill>
    </x:fill>
    <x:fill>
      <x:patternFill patternType="solid">
        <x:fgColor rgb="FFF7F4EB"/>
      </x:patternFill>
    </x:fill>
  </x:fills>
  <x:borders count="13">
    <x:border/>
    <x:border>
      <x:right style="thin">
        <x:color rgb="FF4A4F4B"/>
      </x:right>
    </x:border>
    <x:border>
      <x:left style="thin">
        <x:color rgb="FF4A4F4B"/>
      </x:left>
    </x:border>
    <x:border>
      <x:left style="thin">
        <x:color rgb="FF4A4F4B"/>
      </x:left>
      <x:right style="thin">
        <x:color rgb="FF4A4F4B"/>
      </x:right>
    </x:border>
    <x:border>
      <x:right style="thin">
        <x:color rgb="FFCBC8BE"/>
      </x:right>
      <x:bottom style="thin">
        <x:color rgb="FFCBC8BE"/>
      </x:bottom>
    </x:border>
    <x:border>
      <x:left style="thin">
        <x:color rgb="FFCBC8BE"/>
      </x:left>
      <x:right style="thin">
        <x:color rgb="FFCBC8BE"/>
      </x:right>
      <x:bottom style="thin">
        <x:color rgb="FFCBC8BE"/>
      </x:bottom>
    </x:border>
    <x:border>
      <x:left style="thin">
        <x:color rgb="FFCBC8BE"/>
      </x:left>
      <x:bottom style="thin">
        <x:color rgb="FFCBC8BE"/>
      </x:bottom>
    </x:border>
    <x:border>
      <x:right style="thin">
        <x:color rgb="FFCBC8BE"/>
      </x:right>
      <x:top style="thin">
        <x:color rgb="FFCBC8BE"/>
      </x:top>
      <x:bottom style="thin">
        <x:color rgb="FFCBC8BE"/>
      </x:bottom>
    </x:border>
    <x:border>
      <x:left style="thin">
        <x:color rgb="FFCBC8BE"/>
      </x:left>
      <x:right style="thin">
        <x:color rgb="FFCBC8BE"/>
      </x:right>
      <x:top style="thin">
        <x:color rgb="FFCBC8BE"/>
      </x:top>
      <x:bottom style="thin">
        <x:color rgb="FFCBC8BE"/>
      </x:bottom>
    </x:border>
    <x:border>
      <x:left style="thin">
        <x:color rgb="FFCBC8BE"/>
      </x:left>
      <x:top style="thin">
        <x:color rgb="FFCBC8BE"/>
      </x:top>
      <x:bottom style="thin">
        <x:color rgb="FFCBC8BE"/>
      </x:bottom>
    </x:border>
    <x:border>
      <x:right style="thin">
        <x:color rgb="FFCBC8BE"/>
      </x:right>
      <x:top style="thin">
        <x:color rgb="FFCBC8BE"/>
      </x:top>
    </x:border>
    <x:border>
      <x:left style="thin">
        <x:color rgb="FFCBC8BE"/>
      </x:left>
      <x:right style="thin">
        <x:color rgb="FFCBC8BE"/>
      </x:right>
      <x:top style="thin">
        <x:color rgb="FFCBC8BE"/>
      </x:top>
    </x:border>
    <x:border>
      <x:left style="thin">
        <x:color rgb="FFCBC8BE"/>
      </x:left>
      <x:top style="thin">
        <x:color rgb="FFCBC8BE"/>
      </x:top>
    </x:border>
  </x:borders>
  <x:cellStyleXfs count="1">
    <x:xf numFmtId="0" fontId="0" fillId="0" borderId="0"/>
  </x:cellStyleXfs>
  <x:cellXfs count="1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10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1" fillId="7" borderId="8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vertical="center" wrapText="1"/>
    </x:xf>
    <x:xf numFmtId="0" fontId="6" fillId="2" borderId="8" xfId="0" applyNumberFormat="1" applyFont="1" applyFill="1" applyBorder="1" applyAlignment="1">
      <x:alignment vertical="center" wrapText="1"/>
    </x:xf>
    <x:xf numFmtId="0" fontId="6" fillId="2" borderId="11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0" fontId="7" fillId="2" borderId="6" xfId="0" applyNumberFormat="1" applyFont="1" applyFill="1" applyBorder="1" applyAlignment="1">
      <x:alignment vertical="center" wrapText="1"/>
    </x:xf>
    <x:xf numFmtId="0" fontId="7" fillId="2" borderId="9" xfId="0" applyNumberFormat="1" applyFont="1" applyFill="1" applyBorder="1" applyAlignment="1">
      <x:alignment vertical="center" wrapText="1"/>
    </x:xf>
    <x:xf numFmtId="0" fontId="7" fillId="2" borderId="12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0" fontId="1" fillId="7" borderId="5" xfId="0" applyNumberFormat="1" applyFont="1" applyFill="1" applyBorder="1" applyAlignment="1">
      <x:alignment vertical="center"/>
    </x:xf>
    <x:xf numFmtId="0" fontId="1" fillId="7" borderId="6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0" fontId="1" fillId="7" borderId="8" xfId="0" applyNumberFormat="1" applyFont="1" applyFill="1" applyBorder="1" applyAlignment="1">
      <x:alignment vertical="center"/>
    </x:xf>
    <x:xf numFmtId="0" fontId="1" fillId="7" borderId="9" xfId="0" applyNumberFormat="1" applyFont="1" applyFill="1" applyBorder="1" applyAlignment="1">
      <x:alignment vertical="center"/>
    </x:xf>
    <x:xf numFmtId="0" fontId="1" fillId="7" borderId="10" xfId="0" applyNumberFormat="1" applyFont="1" applyFill="1" applyBorder="1" applyAlignment="1">
      <x:alignment vertical="center"/>
    </x:xf>
    <x:xf numFmtId="0" fontId="1" fillId="7" borderId="11" xfId="0" applyNumberFormat="1" applyFont="1" applyFill="1" applyBorder="1" applyAlignment="1">
      <x:alignment vertical="center"/>
    </x:xf>
    <x:xf numFmtId="0" fontId="1" fillId="7" borderId="12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200" fontId="1" fillId="5" borderId="5" xfId="0" applyNumberFormat="1" applyFont="1" applyFill="1" applyBorder="1" applyAlignment="1">
      <x:alignment vertical="center" wrapText="1"/>
    </x:xf>
    <x:xf numFmtId="200" fontId="1" fillId="5" borderId="8" xfId="0" applyNumberFormat="1" applyFont="1" applyFill="1" applyBorder="1" applyAlignment="1">
      <x:alignment vertical="center" wrapText="1"/>
    </x:xf>
    <x:xf numFmtId="200" fontId="1" fillId="5" borderId="11" xfId="0" applyNumberFormat="1" applyFont="1" applyFill="1" applyBorder="1" applyAlignment="1">
      <x:alignment vertical="center" wrapText="1"/>
    </x:xf>
    <x:xf numFmtId="201" fontId="1" fillId="7" borderId="5" xfId="0" applyNumberFormat="1" applyFont="1" applyFill="1" applyBorder="1" applyAlignment="1">
      <x:alignment vertical="center" wrapText="1"/>
    </x:xf>
    <x:xf numFmtId="201" fontId="1" fillId="7" borderId="8" xfId="0" applyNumberFormat="1" applyFont="1" applyFill="1" applyBorder="1" applyAlignment="1">
      <x:alignment vertical="center" wrapText="1"/>
    </x:xf>
    <x:xf numFmtId="201" fontId="1" fillId="7" borderId="11" xfId="0" applyNumberFormat="1" applyFont="1" applyFill="1" applyBorder="1" applyAlignment="1">
      <x:alignment vertical="center" wrapText="1"/>
    </x:xf>
    <x:xf numFmtId="202" fontId="1" fillId="7" borderId="5" xfId="0" applyNumberFormat="1" applyFont="1" applyFill="1" applyBorder="1" applyAlignment="1">
      <x:alignment vertical="center" wrapText="1"/>
    </x:xf>
    <x:xf numFmtId="202" fontId="1" fillId="7" borderId="8" xfId="0" applyNumberFormat="1" applyFont="1" applyFill="1" applyBorder="1" applyAlignment="1">
      <x:alignment vertical="center" wrapText="1"/>
    </x:xf>
    <x:xf numFmtId="202" fontId="1" fillId="7" borderId="11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8" xfId="0" applyNumberFormat="1" applyFont="1" applyFill="1" applyBorder="1" applyAlignment="1">
      <x:alignment vertical="center"/>
    </x:xf>
    <x:xf numFmtId="0" fontId="1" fillId="8" borderId="11" xfId="0" applyNumberFormat="1" applyFont="1" applyFill="1" applyBorder="1" applyAlignment="1">
      <x:alignment vertical="center"/>
    </x:xf>
    <x:xf numFmtId="200" fontId="1" fillId="5" borderId="5" xfId="0" applyNumberFormat="1" applyFont="1" applyFill="1" applyBorder="1" applyAlignment="1">
      <x:alignment vertical="center"/>
    </x:xf>
    <x:xf numFmtId="200" fontId="1" fillId="5" borderId="8" xfId="0" applyNumberFormat="1" applyFont="1" applyFill="1" applyBorder="1" applyAlignment="1">
      <x:alignment vertical="center"/>
    </x:xf>
    <x:xf numFmtId="200" fontId="1" fillId="5" borderId="11" xfId="0" applyNumberFormat="1" applyFont="1" applyFill="1" applyBorder="1" applyAlignment="1">
      <x:alignment vertical="center"/>
    </x:xf>
    <x:xf numFmtId="202" fontId="1" fillId="8" borderId="5" xfId="0" applyNumberFormat="1" applyFont="1" applyFill="1" applyBorder="1" applyAlignment="1">
      <x:alignment vertical="center"/>
    </x:xf>
    <x:xf numFmtId="202" fontId="1" fillId="8" borderId="8" xfId="0" applyNumberFormat="1" applyFont="1" applyFill="1" applyBorder="1" applyAlignment="1">
      <x:alignment vertical="center"/>
    </x:xf>
    <x:xf numFmtId="202" fontId="1" fillId="8" borderId="11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4" fillId="2" borderId="9" xfId="0" applyNumberFormat="1" applyFont="1" applyFill="1" applyBorder="1" applyAlignment="1">
      <x:alignment vertical="center"/>
    </x:xf>
    <x:xf numFmtId="0" fontId="4" fillId="2" borderId="12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 wrapText="1"/>
    </x:xf>
    <x:xf numFmtId="0" fontId="4" fillId="2" borderId="9" xfId="0" applyNumberFormat="1" applyFont="1" applyFill="1" applyBorder="1" applyAlignment="1">
      <x:alignment vertical="center" wrapText="1"/>
    </x:xf>
    <x:xf numFmtId="0" fontId="4" fillId="2" borderId="12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202" fontId="9" fillId="7" borderId="5" xfId="0" applyNumberFormat="1" applyFont="1" applyFill="1" applyBorder="1" applyAlignment="1">
      <x:alignment vertical="center" wrapText="1"/>
    </x:xf>
    <x:xf numFmtId="202" fontId="9" fillId="7" borderId="8" xfId="0" applyNumberFormat="1" applyFont="1" applyFill="1" applyBorder="1" applyAlignment="1">
      <x:alignment vertical="center" wrapText="1"/>
    </x:xf>
    <x:xf numFmtId="202" fontId="9" fillId="7" borderId="11" xfId="0" applyNumberFormat="1" applyFont="1" applyFill="1" applyBorder="1" applyAlignment="1">
      <x:alignment vertical="center" wrapText="1"/>
    </x:xf>
    <x:xf numFmtId="0" fontId="7" fillId="2" borderId="5" xfId="0" applyNumberFormat="1" applyFont="1" applyFill="1" applyBorder="1" applyAlignment="1">
      <x:alignment vertical="center" wrapText="1"/>
    </x:xf>
    <x:xf numFmtId="0" fontId="7" fillId="2" borderId="8" xfId="0" applyNumberFormat="1" applyFont="1" applyFill="1" applyBorder="1" applyAlignment="1">
      <x:alignment vertical="center" wrapText="1"/>
    </x:xf>
    <x:xf numFmtId="0" fontId="7" fillId="2" borderId="11" xfId="0" applyNumberFormat="1" applyFont="1" applyFill="1" applyBorder="1" applyAlignment="1">
      <x:alignment vertical="center" wrapText="1"/>
    </x:xf>
    <x:xf numFmtId="0" fontId="10" fillId="2" borderId="6" xfId="0" applyNumberFormat="1" applyFont="1" applyFill="1" applyBorder="1" applyAlignment="1">
      <x:alignment vertical="center" wrapText="1"/>
    </x:xf>
    <x:xf numFmtId="0" fontId="10" fillId="2" borderId="9" xfId="0" applyNumberFormat="1" applyFont="1" applyFill="1" applyBorder="1" applyAlignment="1">
      <x:alignment vertical="center" wrapText="1"/>
    </x:xf>
    <x:xf numFmtId="0" fontId="10" fillId="2" borderId="12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2" borderId="4" xfId="0" applyNumberFormat="1" applyFont="1" applyFill="1" applyBorder="1" applyAlignment="1">
      <x:alignment vertical="center"/>
    </x:xf>
    <x:xf numFmtId="202" fontId="1" fillId="2" borderId="6" xfId="0" applyNumberFormat="1" applyFont="1" applyFill="1" applyBorder="1" applyAlignment="1">
      <x:alignment vertical="center"/>
    </x:xf>
    <x:xf numFmtId="202" fontId="1" fillId="2" borderId="7" xfId="0" applyNumberFormat="1" applyFont="1" applyFill="1" applyBorder="1" applyAlignment="1">
      <x:alignment vertical="center"/>
    </x:xf>
    <x:xf numFmtId="202" fontId="1" fillId="2" borderId="9" xfId="0" applyNumberFormat="1" applyFont="1" applyFill="1" applyBorder="1" applyAlignment="1">
      <x:alignment vertical="center"/>
    </x:xf>
    <x:xf numFmtId="202" fontId="1" fillId="2" borderId="10" xfId="0" applyNumberFormat="1" applyFont="1" applyFill="1" applyBorder="1" applyAlignment="1">
      <x:alignment vertical="center"/>
    </x:xf>
    <x:xf numFmtId="202" fontId="1" fillId="2" borderId="12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0" fontId="1" fillId="6" borderId="11" xfId="0" applyNumberFormat="1" applyFont="1" applyFill="1" applyBorder="1" applyAlignment="1">
      <x:alignment vertical="center"/>
    </x:xf>
    <x:xf numFmtId="0" fontId="1" fillId="6" borderId="12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0" fontId="1" fillId="6" borderId="8" xfId="0" applyNumberFormat="1" applyFont="1" applyFill="1" applyBorder="1" applyAlignment="1">
      <x:alignment vertical="center" wrapText="1"/>
    </x:xf>
    <x:xf numFmtId="0" fontId="1" fillId="6" borderId="9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vertical="center" wrapText="1"/>
    </x:xf>
    <x:xf numFmtId="0" fontId="1" fillId="6" borderId="11" xfId="0" applyNumberFormat="1" applyFont="1" applyFill="1" applyBorder="1" applyAlignment="1">
      <x:alignment vertical="center" wrapText="1"/>
    </x:xf>
    <x:xf numFmtId="0" fontId="1" fillId="6" borderId="12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180f0923b45ad" /><Relationship Type="http://schemas.openxmlformats.org/officeDocument/2006/relationships/theme" Target="/xl/theme/theme1.xml" Id="R9f17f88910d544e8" /><Relationship Type="http://schemas.openxmlformats.org/officeDocument/2006/relationships/sharedStrings" Target="/xl/sharedStrings.xml" Id="R60badc25543346a3" /><Relationship Type="http://schemas.openxmlformats.org/officeDocument/2006/relationships/worksheet" Target="/xl/worksheets/sheet1.xml" Id="Rc4d9f9654d90471d" /><Relationship Type="http://schemas.openxmlformats.org/officeDocument/2006/relationships/worksheet" Target="/xl/worksheets/sheet2.xml" Id="R04d07deb489e41da" /><Relationship Type="http://schemas.openxmlformats.org/officeDocument/2006/relationships/worksheet" Target="/xl/worksheets/sheet3.xml" Id="Rbcd80e3741c9481e" /><Relationship Type="http://schemas.openxmlformats.org/officeDocument/2006/relationships/worksheet" Target="/xl/worksheets/sheet4.xml" Id="Rc3eb403ac0e9434d" /><Relationship Type="http://schemas.openxmlformats.org/officeDocument/2006/relationships/worksheet" Target="/xl/worksheets/sheet5.xml" Id="R2d935a02dfbe4318" /></Relationships>
</file>

<file path=xl/tables/table1.xml><?xml version="1.0" encoding="utf-8"?>
<x:table xmlns:x="http://schemas.openxmlformats.org/spreadsheetml/2006/main" id="1" name="RawMeasurementsTable" displayName="RawMeasurementsTable" ref="A5:R23" headerRowCount="1" totalsRowCount="0" totalsRowShown="0">
  <x:tableColumns count="18">
    <x:tableColumn id="1" name="Measurement_ID"/>
    <x:tableColumn id="2" name="Replicate"/>
    <x:tableColumn id="3" name="Elapsed_h"/>
    <x:tableColumn id="4" name="Timestamp"/>
    <x:tableColumn id="5" name="Circuit_state"/>
    <x:tableColumn id="6" name="Loaded_voltage_mV"/>
    <x:tableColumn id="7" name="Open_circuit_voltage_mV"/>
    <x:tableColumn id="8" name="External_resistance_ohm"/>
    <x:tableColumn id="9" name="Measured_current_mA"/>
    <x:tableColumn id="10" name="Anode_temperature_C"/>
    <x:tableColumn id="11" name="Anode_pH"/>
    <x:tableColumn id="12" name="Cathode_pH"/>
    <x:tableColumn id="13" name="Conductivity_mS_cm"/>
    <x:tableColumn id="14" name="Salinity_g_L"/>
    <x:tableColumn id="15" name="Initial_COD_mg_L"/>
    <x:tableColumn id="16" name="Final_COD_mg_L"/>
    <x:tableColumn id="17" name="Notes"/>
    <x:tableColumn id="18" name="Data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culatedMeasurementsTable" displayName="CalculatedMeasurementsTable" ref="A5:K23" headerRowCount="1" totalsRowCount="0" totalsRowShown="0">
  <x:tableColumns count="11">
    <x:tableColumn id="1" name="Measurement_ID"/>
    <x:tableColumn id="2" name="Elapsed_h"/>
    <x:tableColumn id="3" name="Loaded_voltage_V"/>
    <x:tableColumn id="4" name="Current_mA"/>
    <x:tableColumn id="5" name="Power_mW"/>
    <x:tableColumn id="6" name="Exposed_area_cm2"/>
    <x:tableColumn id="7" name="Power_density_mW_m2"/>
    <x:tableColumn id="8" name="COD_removal_percent"/>
    <x:tableColumn id="9" name="Interval_energy_mWh"/>
    <x:tableColumn id="10" name="Cumulative_energy_mWh"/>
    <x:tableColumn id="11" name="Calcul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6989219b2324b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2bbeaad39d64e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2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5" customHeight="1">
      <x:c r="A1" s="5" t="str">
        <x:v>BioVolt Labs — 72-hour MFC data workbook</x:v>
      </x:c>
      <x:c r="B1" s="5"/>
      <x:c r="C1" s="5"/>
      <x:c r="D1" s="5"/>
      <x:c r="E1" s="5"/>
      <x:c r="F1" s="5"/>
      <x:c r="G1" s="5"/>
      <x:c r="H1" s="5"/>
    </x:row>
    <x:row r="2" ht="25" customHeight="1">
      <x:c r="A2" s="7" t="str">
        <x:v>Version 1.0 · raw observations remain separate from calculations</x:v>
      </x:c>
      <x:c r="B2" s="7"/>
      <x:c r="C2" s="7"/>
      <x:c r="D2" s="7"/>
      <x:c r="E2" s="7"/>
      <x:c r="F2" s="7"/>
      <x:c r="G2" s="7"/>
      <x:c r="H2" s="7"/>
    </x:row>
    <x:row r="3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9" t="str">
        <x:v>USE THIS WORKBOOK FOR ONE MFC RUN OR A COORDINATED SET OF REPLICATES</x:v>
      </x:c>
      <x:c r="B4" s="9"/>
      <x:c r="C4" s="9"/>
      <x:c r="D4" s="9"/>
      <x:c r="E4" s="9"/>
      <x:c r="F4" s="9"/>
      <x:c r="G4" s="9"/>
      <x:c r="H4" s="9"/>
    </x:row>
    <x:row r="5">
      <x:c r="A5" s="3"/>
      <x:c r="B5" s="3"/>
      <x:c r="C5" s="3"/>
      <x:c r="D5" s="3"/>
      <x:c r="E5" s="3"/>
      <x:c r="F5" s="3"/>
      <x:c r="G5" s="3"/>
      <x:c r="H5" s="3"/>
    </x:row>
    <x:row r="6" ht="15" hidden="0" customHeight="1">
      <x:c r="A6" s="13" t="str">
        <x:v>Step</x:v>
      </x:c>
      <x:c r="B6" s="14" t="str">
        <x:v>Laboratory action</x:v>
      </x:c>
      <x:c r="C6" s="3"/>
      <x:c r="D6" s="3"/>
      <x:c r="E6" s="3"/>
      <x:c r="F6" s="3"/>
      <x:c r="G6" s="3"/>
      <x:c r="H6" s="3"/>
    </x:row>
    <x:row r="7" ht="24" hidden="0" customHeight="1">
      <x:c r="A7" s="16" t="str">
        <x:v>01</x:v>
      </x:c>
      <x:c r="B7" s="17" t="str">
        <x:v>Complete Experiment Metadata before assembly. Do not infer missing dimensions, concentrations or areas.</x:v>
      </x:c>
      <x:c r="C7" s="3"/>
      <x:c r="D7" s="3"/>
      <x:c r="E7" s="3"/>
      <x:c r="F7" s="3"/>
      <x:c r="G7" s="3"/>
      <x:c r="H7" s="3"/>
    </x:row>
    <x:row r="8" ht="24" hidden="0" customHeight="1">
      <x:c r="A8" s="16" t="str">
        <x:v>02</x:v>
      </x:c>
      <x:c r="B8" s="17" t="str">
        <x:v>Record one observation per row in Raw Measurements. Never replace a missing observation with zero.</x:v>
      </x:c>
      <x:c r="C8" s="3"/>
      <x:c r="D8" s="3"/>
      <x:c r="E8" s="3"/>
      <x:c r="F8" s="3"/>
      <x:c r="G8" s="3"/>
      <x:c r="H8" s="3"/>
    </x:row>
    <x:row r="9" ht="24" hidden="0" customHeight="1">
      <x:c r="A9" s="16" t="str">
        <x:v>03</x:v>
      </x:c>
      <x:c r="B9" s="17" t="str">
        <x:v>Keep open-circuit voltage separate from loaded voltage. OCV alone cannot produce loaded current or power.</x:v>
      </x:c>
      <x:c r="C9" s="3"/>
      <x:c r="D9" s="3"/>
      <x:c r="E9" s="3"/>
      <x:c r="F9" s="3"/>
      <x:c r="G9" s="3"/>
      <x:c r="H9" s="3"/>
    </x:row>
    <x:row r="10" ht="24" hidden="0" customHeight="1">
      <x:c r="A10" s="16" t="str">
        <x:v>04</x:v>
      </x:c>
      <x:c r="B10" s="17" t="str">
        <x:v>For measured power, record loaded voltage plus a known external resistance or an independent current measurement.</x:v>
      </x:c>
      <x:c r="C10" s="3"/>
      <x:c r="D10" s="3"/>
      <x:c r="E10" s="3"/>
      <x:c r="F10" s="3"/>
      <x:c r="G10" s="3"/>
      <x:c r="H10" s="3"/>
    </x:row>
    <x:row r="11" ht="24" hidden="0" customHeight="1">
      <x:c r="A11" s="16" t="str">
        <x:v>05</x:v>
      </x:c>
      <x:c r="B11" s="17" t="str">
        <x:v>Use the exact exposed electrode area and state its normalization basis before interpreting power density.</x:v>
      </x:c>
      <x:c r="C11" s="3"/>
      <x:c r="D11" s="3"/>
      <x:c r="E11" s="3"/>
      <x:c r="F11" s="3"/>
      <x:c r="G11" s="3"/>
      <x:c r="H11" s="3"/>
    </x:row>
    <x:row r="12" ht="24" hidden="0" customHeight="1">
      <x:c r="A12" s="16" t="str">
        <x:v>06</x:v>
      </x:c>
      <x:c r="B12" s="17" t="str">
        <x:v>Review formula-derived values in Calculations and the completeness summary in Results; do not edit formula cells.</x:v>
      </x:c>
      <x:c r="C12" s="3"/>
      <x:c r="D12" s="3"/>
      <x:c r="E12" s="3"/>
      <x:c r="F12" s="3"/>
      <x:c r="G12" s="3"/>
      <x:c r="H12" s="3"/>
    </x:row>
    <x:row r="13" ht="15" hidden="0" customHeight="1">
      <x:c r="A13" s="3"/>
      <x:c r="B13" s="3"/>
      <x:c r="C13" s="3"/>
      <x:c r="D13" s="3"/>
      <x:c r="E13" s="3"/>
      <x:c r="F13" s="3"/>
      <x:c r="G13" s="3"/>
      <x:c r="H13" s="3"/>
    </x:row>
    <x:row r="14" ht="15" hidden="0" customHeight="1">
      <x:c r="A14" s="13" t="str">
        <x:v>Scientific boundary</x:v>
      </x:c>
      <x:c r="B14" s="19" t="str">
        <x:v>Rule</x:v>
      </x:c>
      <x:c r="C14" s="19" t="str">
        <x:v>Why it matters</x:v>
      </x:c>
      <x:c r="D14" s="14" t="str">
        <x:v>Status in template</x:v>
      </x:c>
      <x:c r="E14" s="3"/>
      <x:c r="F14" s="3"/>
      <x:c r="G14" s="3"/>
      <x:c r="H14" s="3"/>
    </x:row>
    <x:row r="15" ht="24" hidden="0" customHeight="1">
      <x:c r="A15" s="29" t="str">
        <x:v>Raw vs derived</x:v>
      </x:c>
      <x:c r="B15" s="30" t="str">
        <x:v>Raw cells are never overwritten by formulas</x:v>
      </x:c>
      <x:c r="C15" s="30" t="str">
        <x:v>Preserves provenance and supports re-analysis</x:v>
      </x:c>
      <x:c r="D15" s="31" t="str">
        <x:v>Separated sheets</x:v>
      </x:c>
      <x:c r="E15" s="3"/>
      <x:c r="F15" s="3"/>
      <x:c r="G15" s="3"/>
      <x:c r="H15" s="3"/>
    </x:row>
    <x:row r="16" ht="15" hidden="0" customHeight="1">
      <x:c r="A16" s="32" t="str">
        <x:v>Loaded voltage</x:v>
      </x:c>
      <x:c r="B16" s="33" t="str">
        <x:v>Must be measured under the stated load</x:v>
      </x:c>
      <x:c r="C16" s="33" t="str">
        <x:v>OCV is not a substitute</x:v>
      </x:c>
      <x:c r="D16" s="34" t="str">
        <x:v>Separate columns</x:v>
      </x:c>
      <x:c r="E16" s="3"/>
      <x:c r="F16" s="3"/>
      <x:c r="G16" s="3"/>
      <x:c r="H16" s="3"/>
    </x:row>
    <x:row r="17" ht="24" hidden="0" customHeight="1">
      <x:c r="A17" s="32" t="str">
        <x:v>Current</x:v>
      </x:c>
      <x:c r="B17" s="33" t="str">
        <x:v>Use measured current or V/R for a known resistor</x:v>
      </x:c>
      <x:c r="C17" s="33" t="str">
        <x:v>Avoids inventing current from voltage alone</x:v>
      </x:c>
      <x:c r="D17" s="34" t="str">
        <x:v>Formula gated</x:v>
      </x:c>
      <x:c r="E17" s="3"/>
      <x:c r="F17" s="3"/>
      <x:c r="G17" s="3"/>
      <x:c r="H17" s="3"/>
    </x:row>
    <x:row r="18" ht="24" hidden="0" customHeight="1">
      <x:c r="A18" s="32" t="str">
        <x:v>Power density</x:v>
      </x:c>
      <x:c r="B18" s="33" t="str">
        <x:v>Requires positive exposed area and named basis</x:v>
      </x:c>
      <x:c r="C18" s="33" t="str">
        <x:v>Different area conventions are not interchangeable</x:v>
      </x:c>
      <x:c r="D18" s="34" t="str">
        <x:v>Formula gated</x:v>
      </x:c>
      <x:c r="E18" s="3"/>
      <x:c r="F18" s="3"/>
      <x:c r="G18" s="3"/>
      <x:c r="H18" s="3"/>
    </x:row>
    <x:row r="19" ht="24" hidden="0" customHeight="1">
      <x:c r="A19" s="32" t="str">
        <x:v>COD removal</x:v>
      </x:c>
      <x:c r="B19" s="33" t="str">
        <x:v>Requires paired initial and final COD</x:v>
      </x:c>
      <x:c r="C19" s="33" t="str">
        <x:v>Unpaired values cannot establish treatment removal</x:v>
      </x:c>
      <x:c r="D19" s="34" t="str">
        <x:v>Formula gated</x:v>
      </x:c>
      <x:c r="E19" s="3"/>
      <x:c r="F19" s="3"/>
      <x:c r="G19" s="3"/>
      <x:c r="H19" s="3"/>
    </x:row>
    <x:row r="20" ht="24" hidden="0" customHeight="1">
      <x:c r="A20" s="35" t="str">
        <x:v>Missing data</x:v>
      </x:c>
      <x:c r="B20" s="36" t="str">
        <x:v>Leave blank and document the reason</x:v>
      </x:c>
      <x:c r="C20" s="36" t="str">
        <x:v>Zero is a measured value, not a missing-value code</x:v>
      </x:c>
      <x:c r="D20" s="37" t="str">
        <x:v>Blank-safe formulas</x:v>
      </x:c>
      <x:c r="E20" s="3"/>
      <x:c r="F20" s="3"/>
      <x:c r="G20" s="3"/>
      <x:c r="H20" s="3"/>
    </x:row>
    <x:row r="21" ht="15" hidden="0" customHeight="1">
      <x:c r="A21" s="3"/>
      <x:c r="B21" s="3"/>
      <x:c r="C21" s="3"/>
      <x:c r="D21" s="3"/>
      <x:c r="E21" s="3"/>
      <x:c r="F21" s="3"/>
      <x:c r="G21" s="3"/>
      <x:c r="H21" s="3"/>
    </x:row>
    <x:row r="22" ht="15" hidden="0" customHeight="1">
      <x:c r="A22" s="40" t="str">
        <x:v>72-hour schedule</x:v>
      </x:c>
      <x:c r="B22" s="39" t="str">
        <x:v>0, 1, 2, 3, 4, 5, 6, 12, 18, 24, 30, 36, 42, 48, 54, 60, 66 and 72 h</x:v>
      </x:c>
      <x:c r="C22" s="39"/>
      <x:c r="D22" s="39"/>
      <x:c r="E22" s="39"/>
      <x:c r="F22" s="39"/>
      <x:c r="G22" s="39"/>
      <x:c r="H22" s="39"/>
    </x:row>
    <x:row r="23" ht="24" hidden="0" customHeight="1">
      <x:c r="A23" s="40" t="str">
        <x:v>Previous laboratory record</x:v>
      </x:c>
      <x:c r="B23" s="39" t="str">
        <x:v>The retained experiment had no external resistance and no voltage time series. This workbook is for the repeat experiment and does not reconstruct those missing values.</x:v>
      </x:c>
      <x:c r="C23" s="39"/>
      <x:c r="D23" s="39"/>
      <x:c r="E23" s="39"/>
      <x:c r="F23" s="39"/>
      <x:c r="G23" s="39"/>
      <x:c r="H23" s="39"/>
    </x:row>
    <x:row r="24" ht="24" hidden="0" customHeight="1">
      <x:c r="A24" s="40" t="str">
        <x:v>Calculation convention</x:v>
      </x:c>
      <x:c r="B24" s="39" t="str">
        <x:v>mV ÷ Ω = mA; V × mA = mW; power density = mW ÷ area in m²; interval energy uses trapezoidal integration between adjacent measured power values.</x:v>
      </x:c>
      <x:c r="C24" s="39"/>
      <x:c r="D24" s="39"/>
      <x:c r="E24" s="39"/>
      <x:c r="F24" s="39"/>
      <x:c r="G24" s="39"/>
      <x:c r="H24" s="39"/>
    </x:row>
    <x:row r="25" ht="24" hidden="0" customHeight="1">
      <x:c r="A25" s="40" t="str">
        <x:v>Authorship</x:v>
      </x:c>
      <x:c r="B25" s="39" t="str">
        <x:v>Prepared for BioVolt Labs. Review protocol fields with the laboratory supervisor before collecting data.</x:v>
      </x:c>
      <x:c r="C25" s="39"/>
      <x:c r="D25" s="39"/>
      <x:c r="E25" s="39"/>
      <x:c r="F25" s="39"/>
      <x:c r="G25" s="39"/>
      <x:c r="H25" s="39"/>
    </x:row>
    <x:row r="26">
      <x:c r="A26" s="3"/>
      <x:c r="B26" s="3"/>
      <x:c r="C26" s="3"/>
      <x:c r="D26" s="3"/>
      <x:c r="E26" s="3"/>
      <x:c r="F26" s="3"/>
      <x:c r="G26" s="3"/>
      <x:c r="H26" s="3"/>
    </x:row>
    <x:row r="27">
      <x:c r="A27" s="3"/>
      <x:c r="B27" s="3"/>
      <x:c r="C27" s="3"/>
      <x:c r="D27" s="3"/>
      <x:c r="E27" s="3"/>
      <x:c r="F27" s="3"/>
      <x:c r="G27" s="3"/>
      <x:c r="H27" s="3"/>
    </x:row>
    <x:row r="28">
      <x:c r="A28" s="3"/>
      <x:c r="B28" s="3"/>
      <x:c r="C28" s="3"/>
      <x:c r="D28" s="3"/>
      <x:c r="E28" s="3"/>
      <x:c r="F28" s="3"/>
      <x:c r="G28" s="3"/>
      <x:c r="H28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24" hidden="0" customWidth="1"/>
    <x:col min="4" max="4" width="54" hidden="0" customWidth="1"/>
  </x:cols>
  <x:sheetData>
    <x:row r="1" ht="35" customHeight="1">
      <x:c r="A1" s="5" t="str">
        <x:v>Experiment metadata</x:v>
      </x:c>
      <x:c r="B1" s="5"/>
      <x:c r="C1" s="5"/>
      <x:c r="D1" s="5"/>
    </x:row>
    <x:row r="2" ht="25" customHeight="1">
      <x:c r="A2" s="7" t="str">
        <x:v>Complete before the run · units remain in their own column</x:v>
      </x:c>
      <x:c r="B2" s="7"/>
      <x:c r="C2" s="7"/>
      <x:c r="D2" s="7"/>
    </x:row>
    <x:row r="3">
      <x:c r="A3" s="3"/>
      <x:c r="B3" s="3"/>
      <x:c r="C3" s="3"/>
      <x:c r="D3" s="3"/>
    </x:row>
    <x:row r="4">
      <x:c r="A4" s="13" t="str">
        <x:v>Field</x:v>
      </x:c>
      <x:c r="B4" s="19" t="str">
        <x:v>Value</x:v>
      </x:c>
      <x:c r="C4" s="19" t="str">
        <x:v>Unit / controlled term</x:v>
      </x:c>
      <x:c r="D4" s="14" t="str">
        <x:v>Source or protocol note</x:v>
      </x:c>
    </x:row>
    <x:row r="5" ht="15" hidden="0" customHeight="1">
      <x:c r="A5" s="41" t="str">
        <x:v>Experiment code</x:v>
      </x:c>
      <x:c r="B5" s="44" t="str">
        <x:v>BIOVOLT-REPEAT-001</x:v>
      </x:c>
      <x:c r="C5" s="50" t="str">
        <x:v>text</x:v>
      </x:c>
      <x:c r="D5" s="53" t="str">
        <x:v>Assign a unique code before the run</x:v>
      </x:c>
    </x:row>
    <x:row r="6" ht="15" hidden="0" customHeight="1">
      <x:c r="A6" s="42" t="str">
        <x:v>Experiment title</x:v>
      </x:c>
      <x:c r="B6" s="45" t="str">
        <x:v>72-hour dual-chamber MFC repeat</x:v>
      </x:c>
      <x:c r="C6" s="51" t="str">
        <x:v>text</x:v>
      </x:c>
      <x:c r="D6" s="54" t="str">
        <x:v>Editable</x:v>
      </x:c>
    </x:row>
    <x:row r="7" ht="15" hidden="0" customHeight="1">
      <x:c r="A7" s="42" t="str">
        <x:v>Researcher</x:v>
      </x:c>
      <x:c r="B7" s="45" t="str"/>
      <x:c r="C7" s="51" t="str">
        <x:v>name</x:v>
      </x:c>
      <x:c r="D7" s="54" t="str">
        <x:v>Editable</x:v>
      </x:c>
    </x:row>
    <x:row r="8" ht="15" hidden="0" customHeight="1">
      <x:c r="A8" s="42" t="str">
        <x:v>Start date and time</x:v>
      </x:c>
      <x:c r="B8" s="45" t="str"/>
      <x:c r="C8" s="51" t="str">
        <x:v>yyyy-mm-dd hh:mm</x:v>
      </x:c>
      <x:c r="D8" s="54" t="str">
        <x:v>Editable</x:v>
      </x:c>
    </x:row>
    <x:row r="9" ht="15" hidden="0" customHeight="1">
      <x:c r="A9" s="42" t="str">
        <x:v>Replicate plan</x:v>
      </x:c>
      <x:c r="B9" s="45" t="str"/>
      <x:c r="C9" s="51" t="str">
        <x:v>n</x:v>
      </x:c>
      <x:c r="D9" s="54" t="str">
        <x:v>Use independent reactors where possible</x:v>
      </x:c>
    </x:row>
    <x:row r="10" ht="15" hidden="0" customHeight="1">
      <x:c r="A10" s="42" t="str">
        <x:v>Organism / community</x:v>
      </x:c>
      <x:c r="B10" s="45" t="str">
        <x:v>Halophilic environmental isolate</x:v>
      </x:c>
      <x:c r="C10" s="51" t="str">
        <x:v>text</x:v>
      </x:c>
      <x:c r="D10" s="54" t="str">
        <x:v>Species identity not established</x:v>
      </x:c>
    </x:row>
    <x:row r="11" ht="15" hidden="0" customHeight="1">
      <x:c r="A11" s="42" t="str">
        <x:v>Inoculum source</x:v>
      </x:c>
      <x:c r="B11" s="45" t="str">
        <x:v>Sambhar Lake enrichment</x:v>
      </x:c>
      <x:c r="C11" s="51" t="str">
        <x:v>text</x:v>
      </x:c>
      <x:c r="D11" s="54" t="str">
        <x:v>Record exact sample and culture batch</x:v>
      </x:c>
    </x:row>
    <x:row r="12" ht="15" hidden="0" customHeight="1">
      <x:c r="A12" s="42" t="str">
        <x:v>Inoculum volume</x:v>
      </x:c>
      <x:c r="B12" s="45" t="n">
        <x:v>1</x:v>
      </x:c>
      <x:c r="C12" s="51" t="str">
        <x:v>mL</x:v>
      </x:c>
      <x:c r="D12" s="54" t="str">
        <x:v>Added to 179 mL culture medium</x:v>
      </x:c>
    </x:row>
    <x:row r="13" ht="15" hidden="0" customHeight="1">
      <x:c r="A13" s="42" t="str">
        <x:v>Culture-medium volume</x:v>
      </x:c>
      <x:c r="B13" s="45" t="n">
        <x:v>179</x:v>
      </x:c>
      <x:c r="C13" s="51" t="str">
        <x:v>mL</x:v>
      </x:c>
      <x:c r="D13" s="54" t="str">
        <x:v>Inoculum-to-medium ratio 1:179</x:v>
      </x:c>
    </x:row>
    <x:row r="14" ht="15" hidden="0" customHeight="1">
      <x:c r="A14" s="42" t="str">
        <x:v>Inoculum size</x:v>
      </x:c>
      <x:c r="B14" s="45" t="n">
        <x:v>0.56</x:v>
      </x:c>
      <x:c r="C14" s="51" t="str">
        <x:v>% v/v</x:v>
      </x:c>
      <x:c r="D14" s="54" t="str">
        <x:v>1 mL in approximately 180 mL final mixture</x:v>
      </x:c>
    </x:row>
    <x:row r="15" ht="15" hidden="0" customHeight="1">
      <x:c r="A15" s="42" t="str">
        <x:v>Broth incubation</x:v>
      </x:c>
      <x:c r="B15" s="45" t="str">
        <x:v>48–72</x:v>
      </x:c>
      <x:c r="C15" s="51" t="str">
        <x:v>h</x:v>
      </x:c>
      <x:c r="D15" s="54" t="str">
        <x:v>Target 37 °C</x:v>
      </x:c>
    </x:row>
    <x:row r="16" ht="15" hidden="0" customHeight="1">
      <x:c r="A16" s="42" t="str">
        <x:v>Anode working volume</x:v>
      </x:c>
      <x:c r="B16" s="45" t="n">
        <x:v>280</x:v>
      </x:c>
      <x:c r="C16" s="51" t="str">
        <x:v>mL</x:v>
      </x:c>
      <x:c r="D16" s="54" t="str">
        <x:v>Halophilic broth</x:v>
      </x:c>
    </x:row>
    <x:row r="17" ht="15" hidden="0" customHeight="1">
      <x:c r="A17" s="42" t="str">
        <x:v>Cathode working volume</x:v>
      </x:c>
      <x:c r="B17" s="45" t="n">
        <x:v>280</x:v>
      </x:c>
      <x:c r="C17" s="51" t="str">
        <x:v>mL</x:v>
      </x:c>
      <x:c r="D17" s="54" t="str">
        <x:v>0.6 mM KMnO₄ solution</x:v>
      </x:c>
    </x:row>
    <x:row r="18" ht="15" hidden="0" customHeight="1">
      <x:c r="A18" s="42" t="str">
        <x:v>Catholyte</x:v>
      </x:c>
      <x:c r="B18" s="45" t="str">
        <x:v>Potassium permanganate</x:v>
      </x:c>
      <x:c r="C18" s="51" t="str">
        <x:v>KMnO₄</x:v>
      </x:c>
      <x:c r="D18" s="54" t="str">
        <x:v>Do not describe this as an oxygen-reduction cathode</x:v>
      </x:c>
    </x:row>
    <x:row r="19" ht="15" hidden="0" customHeight="1">
      <x:c r="A19" s="42" t="str">
        <x:v>Catholyte concentration</x:v>
      </x:c>
      <x:c r="B19" s="45" t="n">
        <x:v>0.6</x:v>
      </x:c>
      <x:c r="C19" s="51" t="str">
        <x:v>mM</x:v>
      </x:c>
      <x:c r="D19" s="54" t="str">
        <x:v>Recorded protocol value</x:v>
      </x:c>
    </x:row>
    <x:row r="20" ht="15" hidden="0" customHeight="1">
      <x:c r="A20" s="42" t="str">
        <x:v>Target temperature</x:v>
      </x:c>
      <x:c r="B20" s="45" t="n">
        <x:v>37</x:v>
      </x:c>
      <x:c r="C20" s="51" t="str">
        <x:v>°C</x:v>
      </x:c>
      <x:c r="D20" s="54" t="str">
        <x:v>Record the observed temperature at every time point</x:v>
      </x:c>
    </x:row>
    <x:row r="21" ht="15" hidden="0" customHeight="1">
      <x:c r="A21" s="42" t="str">
        <x:v>Test duration</x:v>
      </x:c>
      <x:c r="B21" s="45" t="n">
        <x:v>72</x:v>
      </x:c>
      <x:c r="C21" s="51" t="str">
        <x:v>h</x:v>
      </x:c>
      <x:c r="D21" s="54" t="str">
        <x:v>Scheduled observations through 72 h</x:v>
      </x:c>
    </x:row>
    <x:row r="22" ht="15" hidden="0" customHeight="1">
      <x:c r="A22" s="42" t="str">
        <x:v>Anode material</x:v>
      </x:c>
      <x:c r="B22" s="45" t="str">
        <x:v>Graphite rod</x:v>
      </x:c>
      <x:c r="C22" s="51" t="str">
        <x:v>controlled term</x:v>
      </x:c>
      <x:c r="D22" s="54" t="str">
        <x:v>Record exact immersed geometry</x:v>
      </x:c>
    </x:row>
    <x:row r="23" ht="15" hidden="0" customHeight="1">
      <x:c r="A23" s="42" t="str">
        <x:v>Cathode material</x:v>
      </x:c>
      <x:c r="B23" s="45" t="str">
        <x:v>Graphite rod</x:v>
      </x:c>
      <x:c r="C23" s="51" t="str">
        <x:v>controlled term</x:v>
      </x:c>
      <x:c r="D23" s="54" t="str">
        <x:v>Record exact immersed geometry</x:v>
      </x:c>
    </x:row>
    <x:row r="24" ht="15" hidden="0" customHeight="1">
      <x:c r="A24" s="42" t="str">
        <x:v>Exposed electrode area</x:v>
      </x:c>
      <x:c r="B24" s="45" t="str"/>
      <x:c r="C24" s="51" t="str">
        <x:v>cm²</x:v>
      </x:c>
      <x:c r="D24" s="54" t="str">
        <x:v>Required for density; do not infer from product dimensions</x:v>
      </x:c>
    </x:row>
    <x:row r="25" ht="15" hidden="0" customHeight="1">
      <x:c r="A25" s="42" t="str">
        <x:v>Area basis</x:v>
      </x:c>
      <x:c r="B25" s="45" t="str"/>
      <x:c r="C25" s="51" t="str">
        <x:v>anode/cathode/projected</x:v>
      </x:c>
      <x:c r="D25" s="54" t="str">
        <x:v>Required for density</x:v>
      </x:c>
    </x:row>
    <x:row r="26" ht="15" hidden="0" customHeight="1">
      <x:c r="A26" s="42" t="str">
        <x:v>Separator</x:v>
      </x:c>
      <x:c r="B26" s="45" t="str">
        <x:v>KNO₃–agar salt bridge</x:v>
      </x:c>
      <x:c r="C26" s="51" t="str">
        <x:v>controlled term</x:v>
      </x:c>
      <x:c r="D26" s="54" t="str">
        <x:v>Record prepared composition and geometry</x:v>
      </x:c>
    </x:row>
    <x:row r="27" ht="15" hidden="0" customHeight="1">
      <x:c r="A27" s="42" t="str">
        <x:v>Bridge KNO₃ concentration</x:v>
      </x:c>
      <x:c r="B27" s="45" t="str"/>
      <x:c r="C27" s="51" t="str">
        <x:v>mol/L</x:v>
      </x:c>
      <x:c r="D27" s="54" t="str">
        <x:v>Measure or document preparation</x:v>
      </x:c>
    </x:row>
    <x:row r="28" ht="15" hidden="0" customHeight="1">
      <x:c r="A28" s="42" t="str">
        <x:v>Bridge agar concentration</x:v>
      </x:c>
      <x:c r="B28" s="45" t="str"/>
      <x:c r="C28" s="51" t="str">
        <x:v>% w/v</x:v>
      </x:c>
      <x:c r="D28" s="54" t="str">
        <x:v>Measure or document preparation</x:v>
      </x:c>
    </x:row>
    <x:row r="29" ht="15" hidden="0" customHeight="1">
      <x:c r="A29" s="42" t="str">
        <x:v>Bridge length</x:v>
      </x:c>
      <x:c r="B29" s="45" t="str"/>
      <x:c r="C29" s="51" t="str">
        <x:v>cm</x:v>
      </x:c>
      <x:c r="D29" s="54" t="str">
        <x:v>Internal ionic-path length</x:v>
      </x:c>
    </x:row>
    <x:row r="30" ht="15" hidden="0" customHeight="1">
      <x:c r="A30" s="42" t="str">
        <x:v>Bridge internal diameter</x:v>
      </x:c>
      <x:c r="B30" s="45" t="str"/>
      <x:c r="C30" s="51" t="str">
        <x:v>cm</x:v>
      </x:c>
      <x:c r="D30" s="54" t="str">
        <x:v>Required with length and conductivity for bridge-only resistance</x:v>
      </x:c>
    </x:row>
    <x:row r="31" ht="15" hidden="0" customHeight="1">
      <x:c r="A31" s="42" t="str">
        <x:v>Bridge conductivity</x:v>
      </x:c>
      <x:c r="B31" s="45" t="str"/>
      <x:c r="C31" s="51" t="str">
        <x:v>mS/cm</x:v>
      </x:c>
      <x:c r="D31" s="54" t="str">
        <x:v>Prepared bridge/electrolyte, not chamber conductivity</x:v>
      </x:c>
    </x:row>
    <x:row r="32" ht="15" hidden="0" customHeight="1">
      <x:c r="A32" s="42" t="str">
        <x:v>External resistance</x:v>
      </x:c>
      <x:c r="B32" s="45" t="str"/>
      <x:c r="C32" s="51" t="str">
        <x:v>Ω</x:v>
      </x:c>
      <x:c r="D32" s="54" t="str">
        <x:v>Use a known positive resistor for loaded-power calculation</x:v>
      </x:c>
    </x:row>
    <x:row r="33" ht="15" hidden="0" customHeight="1">
      <x:c r="A33" s="42" t="str">
        <x:v>Voltage meter model</x:v>
      </x:c>
      <x:c r="B33" s="45" t="str"/>
      <x:c r="C33" s="51" t="str">
        <x:v>text</x:v>
      </x:c>
      <x:c r="D33" s="54" t="str">
        <x:v>Include range and resolution</x:v>
      </x:c>
    </x:row>
    <x:row r="34" ht="15" hidden="0" customHeight="1">
      <x:c r="A34" s="42" t="str">
        <x:v>Current meter model</x:v>
      </x:c>
      <x:c r="B34" s="45" t="str"/>
      <x:c r="C34" s="51" t="str">
        <x:v>text</x:v>
      </x:c>
      <x:c r="D34" s="54" t="str">
        <x:v>Optional independent current measurement</x:v>
      </x:c>
    </x:row>
    <x:row r="35" ht="15" hidden="0" customHeight="1">
      <x:c r="A35" s="42" t="str">
        <x:v>Initial COD method</x:v>
      </x:c>
      <x:c r="B35" s="45" t="str"/>
      <x:c r="C35" s="51" t="str">
        <x:v>method</x:v>
      </x:c>
      <x:c r="D35" s="54" t="str">
        <x:v>Record method, calibration and replicate handling</x:v>
      </x:c>
    </x:row>
    <x:row r="36" ht="15" hidden="0" customHeight="1">
      <x:c r="A36" s="42" t="str">
        <x:v>Final COD method</x:v>
      </x:c>
      <x:c r="B36" s="45" t="str"/>
      <x:c r="C36" s="51" t="str">
        <x:v>method</x:v>
      </x:c>
      <x:c r="D36" s="54" t="str">
        <x:v>Use the same validated method</x:v>
      </x:c>
    </x:row>
    <x:row r="37" ht="15" hidden="0" customHeight="1">
      <x:c r="A37" s="43" t="str">
        <x:v>Protocol deviations</x:v>
      </x:c>
      <x:c r="B37" s="46" t="str"/>
      <x:c r="C37" s="52" t="str">
        <x:v>text</x:v>
      </x:c>
      <x:c r="D37" s="55" t="str">
        <x:v>Document every departure from the planned procedure</x:v>
      </x:c>
    </x:row>
    <x:row r="38">
      <x:c r="A38" s="3"/>
      <x:c r="B38" s="3"/>
      <x:c r="C38" s="3"/>
      <x:c r="D38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2" hidden="0" customWidth="1"/>
    <x:col min="4" max="4" width="20" hidden="0" customWidth="1"/>
    <x:col min="5" max="5" width="18" hidden="0" customWidth="1"/>
    <x:col min="6" max="6" width="20" hidden="0" customWidth="1"/>
    <x:col min="7" max="7" width="22" hidden="0" customWidth="1"/>
    <x:col min="8" max="8" width="23" hidden="0" customWidth="1"/>
    <x:col min="9" max="9" width="20" hidden="0" customWidth="1"/>
    <x:col min="10" max="10" width="21" hidden="0" customWidth="1"/>
    <x:col min="11" max="11" width="12" hidden="0" customWidth="1"/>
    <x:col min="12" max="12" width="12" hidden="0" customWidth="1"/>
    <x:col min="13" max="13" width="22" hidden="0" customWidth="1"/>
    <x:col min="14" max="14" width="15" hidden="0" customWidth="1"/>
    <x:col min="15" max="15" width="18" hidden="0" customWidth="1"/>
    <x:col min="16" max="16" width="18" hidden="0" customWidth="1"/>
    <x:col min="17" max="17" width="38" hidden="0" customWidth="1"/>
    <x:col min="18" max="18" width="22" hidden="0" customWidth="1"/>
  </x:cols>
  <x:sheetData>
    <x:row r="1" ht="35" customHeight="1">
      <x:c r="A1" s="5" t="str">
        <x:v>Raw measurements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5" customHeight="1">
      <x:c r="A2" s="7" t="str">
        <x:v>Enter observations only · one row per scheduled time point and replicate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6" hidden="0" customHeight="1">
      <x:c r="A4" s="56" t="str">
        <x:v>Blue header = scheduled field; white cells = editable raw data</x:v>
      </x:c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</x:row>
    <x:row r="5" ht="15" hidden="0" customHeight="1">
      <x:c r="A5" s="13" t="str">
        <x:v>Measurement_ID</x:v>
      </x:c>
      <x:c r="B5" s="19" t="str">
        <x:v>Replicate</x:v>
      </x:c>
      <x:c r="C5" s="19" t="str">
        <x:v>Elapsed_h</x:v>
      </x:c>
      <x:c r="D5" s="19" t="str">
        <x:v>Timestamp</x:v>
      </x:c>
      <x:c r="E5" s="19" t="str">
        <x:v>Circuit_state</x:v>
      </x:c>
      <x:c r="F5" s="19" t="str">
        <x:v>Loaded_voltage_mV</x:v>
      </x:c>
      <x:c r="G5" s="19" t="str">
        <x:v>Open_circuit_voltage_mV</x:v>
      </x:c>
      <x:c r="H5" s="19" t="str">
        <x:v>External_resistance_ohm</x:v>
      </x:c>
      <x:c r="I5" s="19" t="str">
        <x:v>Measured_current_mA</x:v>
      </x:c>
      <x:c r="J5" s="19" t="str">
        <x:v>Anode_temperature_C</x:v>
      </x:c>
      <x:c r="K5" s="19" t="str">
        <x:v>Anode_pH</x:v>
      </x:c>
      <x:c r="L5" s="19" t="str">
        <x:v>Cathode_pH</x:v>
      </x:c>
      <x:c r="M5" s="19" t="str">
        <x:v>Conductivity_mS_cm</x:v>
      </x:c>
      <x:c r="N5" s="19" t="str">
        <x:v>Salinity_g_L</x:v>
      </x:c>
      <x:c r="O5" s="19" t="str">
        <x:v>Initial_COD_mg_L</x:v>
      </x:c>
      <x:c r="P5" s="19" t="str">
        <x:v>Final_COD_mg_L</x:v>
      </x:c>
      <x:c r="Q5" s="19" t="str">
        <x:v>Notes</x:v>
      </x:c>
      <x:c r="R5" s="14" t="str">
        <x:v>Data_flag</x:v>
      </x:c>
    </x:row>
    <x:row r="6" ht="15" hidden="0" customHeight="1">
      <x:c r="A6" s="73" t="str">
        <x:v>MFC-001-T000</x:v>
      </x:c>
      <x:c r="B6" s="74" t="n">
        <x:v>1</x:v>
      </x:c>
      <x:c r="C6" s="79" t="n">
        <x:v>0</x:v>
      </x:c>
      <x:c r="D6" s="82"/>
      <x:c r="E6" s="44" t="str"/>
      <x:c r="F6" s="85"/>
      <x:c r="G6" s="85"/>
      <x:c r="H6" s="85"/>
      <x:c r="I6" s="85"/>
      <x:c r="J6" s="85"/>
      <x:c r="K6" s="85"/>
      <x:c r="L6" s="85"/>
      <x:c r="M6" s="85"/>
      <x:c r="N6" s="85"/>
      <x:c r="O6" s="85"/>
      <x:c r="P6" s="85"/>
      <x:c r="Q6" s="44" t="str"/>
      <x:c r="R6" s="68" t="str"/>
    </x:row>
    <x:row r="7" ht="15" hidden="0" customHeight="1">
      <x:c r="A7" s="75" t="str">
        <x:v>MFC-001-T001</x:v>
      </x:c>
      <x:c r="B7" s="76" t="n">
        <x:v>1</x:v>
      </x:c>
      <x:c r="C7" s="80" t="n">
        <x:v>1</x:v>
      </x:c>
      <x:c r="D7" s="83"/>
      <x:c r="E7" s="45" t="str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45" t="str"/>
      <x:c r="R7" s="70" t="str"/>
    </x:row>
    <x:row r="8" ht="15" hidden="0" customHeight="1">
      <x:c r="A8" s="75" t="str">
        <x:v>MFC-001-T002</x:v>
      </x:c>
      <x:c r="B8" s="76" t="n">
        <x:v>1</x:v>
      </x:c>
      <x:c r="C8" s="80" t="n">
        <x:v>2</x:v>
      </x:c>
      <x:c r="D8" s="83"/>
      <x:c r="E8" s="45" t="str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45" t="str"/>
      <x:c r="R8" s="70" t="str"/>
    </x:row>
    <x:row r="9" ht="15" hidden="0" customHeight="1">
      <x:c r="A9" s="75" t="str">
        <x:v>MFC-001-T003</x:v>
      </x:c>
      <x:c r="B9" s="76" t="n">
        <x:v>1</x:v>
      </x:c>
      <x:c r="C9" s="80" t="n">
        <x:v>3</x:v>
      </x:c>
      <x:c r="D9" s="83"/>
      <x:c r="E9" s="45" t="str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45" t="str"/>
      <x:c r="R9" s="70" t="str"/>
    </x:row>
    <x:row r="10" ht="15" hidden="0" customHeight="1">
      <x:c r="A10" s="75" t="str">
        <x:v>MFC-001-T004</x:v>
      </x:c>
      <x:c r="B10" s="76" t="n">
        <x:v>1</x:v>
      </x:c>
      <x:c r="C10" s="80" t="n">
        <x:v>4</x:v>
      </x:c>
      <x:c r="D10" s="83"/>
      <x:c r="E10" s="45" t="str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45" t="str"/>
      <x:c r="R10" s="70" t="str"/>
    </x:row>
    <x:row r="11" ht="15" hidden="0" customHeight="1">
      <x:c r="A11" s="75" t="str">
        <x:v>MFC-001-T005</x:v>
      </x:c>
      <x:c r="B11" s="76" t="n">
        <x:v>1</x:v>
      </x:c>
      <x:c r="C11" s="80" t="n">
        <x:v>5</x:v>
      </x:c>
      <x:c r="D11" s="83"/>
      <x:c r="E11" s="45" t="str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45" t="str"/>
      <x:c r="R11" s="70" t="str"/>
    </x:row>
    <x:row r="12" ht="15" hidden="0" customHeight="1">
      <x:c r="A12" s="75" t="str">
        <x:v>MFC-001-T006</x:v>
      </x:c>
      <x:c r="B12" s="76" t="n">
        <x:v>1</x:v>
      </x:c>
      <x:c r="C12" s="80" t="n">
        <x:v>6</x:v>
      </x:c>
      <x:c r="D12" s="83"/>
      <x:c r="E12" s="45" t="str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45" t="str"/>
      <x:c r="R12" s="70" t="str"/>
    </x:row>
    <x:row r="13" ht="15" hidden="0" customHeight="1">
      <x:c r="A13" s="75" t="str">
        <x:v>MFC-001-T012</x:v>
      </x:c>
      <x:c r="B13" s="76" t="n">
        <x:v>1</x:v>
      </x:c>
      <x:c r="C13" s="80" t="n">
        <x:v>12</x:v>
      </x:c>
      <x:c r="D13" s="83"/>
      <x:c r="E13" s="45" t="str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45" t="str"/>
      <x:c r="R13" s="70" t="str"/>
    </x:row>
    <x:row r="14" ht="15" hidden="0" customHeight="1">
      <x:c r="A14" s="75" t="str">
        <x:v>MFC-001-T018</x:v>
      </x:c>
      <x:c r="B14" s="76" t="n">
        <x:v>1</x:v>
      </x:c>
      <x:c r="C14" s="80" t="n">
        <x:v>18</x:v>
      </x:c>
      <x:c r="D14" s="83"/>
      <x:c r="E14" s="45" t="str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45" t="str"/>
      <x:c r="R14" s="70" t="str"/>
    </x:row>
    <x:row r="15" ht="15" hidden="0" customHeight="1">
      <x:c r="A15" s="75" t="str">
        <x:v>MFC-001-T024</x:v>
      </x:c>
      <x:c r="B15" s="76" t="n">
        <x:v>1</x:v>
      </x:c>
      <x:c r="C15" s="80" t="n">
        <x:v>24</x:v>
      </x:c>
      <x:c r="D15" s="83"/>
      <x:c r="E15" s="45" t="str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45" t="str"/>
      <x:c r="R15" s="70" t="str"/>
    </x:row>
    <x:row r="16" ht="15" hidden="0" customHeight="1">
      <x:c r="A16" s="75" t="str">
        <x:v>MFC-001-T030</x:v>
      </x:c>
      <x:c r="B16" s="76" t="n">
        <x:v>1</x:v>
      </x:c>
      <x:c r="C16" s="80" t="n">
        <x:v>30</x:v>
      </x:c>
      <x:c r="D16" s="83"/>
      <x:c r="E16" s="45" t="str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45" t="str"/>
      <x:c r="R16" s="70" t="str"/>
    </x:row>
    <x:row r="17" ht="15" hidden="0" customHeight="1">
      <x:c r="A17" s="75" t="str">
        <x:v>MFC-001-T036</x:v>
      </x:c>
      <x:c r="B17" s="76" t="n">
        <x:v>1</x:v>
      </x:c>
      <x:c r="C17" s="80" t="n">
        <x:v>36</x:v>
      </x:c>
      <x:c r="D17" s="83"/>
      <x:c r="E17" s="45" t="str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45" t="str"/>
      <x:c r="R17" s="70" t="str"/>
    </x:row>
    <x:row r="18" ht="15" hidden="0" customHeight="1">
      <x:c r="A18" s="75" t="str">
        <x:v>MFC-001-T042</x:v>
      </x:c>
      <x:c r="B18" s="76" t="n">
        <x:v>1</x:v>
      </x:c>
      <x:c r="C18" s="80" t="n">
        <x:v>42</x:v>
      </x:c>
      <x:c r="D18" s="83"/>
      <x:c r="E18" s="45" t="str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45" t="str"/>
      <x:c r="R18" s="70" t="str"/>
    </x:row>
    <x:row r="19" ht="15" hidden="0" customHeight="1">
      <x:c r="A19" s="75" t="str">
        <x:v>MFC-001-T048</x:v>
      </x:c>
      <x:c r="B19" s="76" t="n">
        <x:v>1</x:v>
      </x:c>
      <x:c r="C19" s="80" t="n">
        <x:v>48</x:v>
      </x:c>
      <x:c r="D19" s="83"/>
      <x:c r="E19" s="45" t="str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45" t="str"/>
      <x:c r="R19" s="70" t="str"/>
    </x:row>
    <x:row r="20" ht="15" hidden="0" customHeight="1">
      <x:c r="A20" s="75" t="str">
        <x:v>MFC-001-T054</x:v>
      </x:c>
      <x:c r="B20" s="76" t="n">
        <x:v>1</x:v>
      </x:c>
      <x:c r="C20" s="80" t="n">
        <x:v>54</x:v>
      </x:c>
      <x:c r="D20" s="83"/>
      <x:c r="E20" s="45" t="str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45" t="str"/>
      <x:c r="R20" s="70" t="str"/>
    </x:row>
    <x:row r="21" ht="15" hidden="0" customHeight="1">
      <x:c r="A21" s="75" t="str">
        <x:v>MFC-001-T060</x:v>
      </x:c>
      <x:c r="B21" s="76" t="n">
        <x:v>1</x:v>
      </x:c>
      <x:c r="C21" s="80" t="n">
        <x:v>60</x:v>
      </x:c>
      <x:c r="D21" s="83"/>
      <x:c r="E21" s="45" t="str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45" t="str"/>
      <x:c r="R21" s="70" t="str"/>
    </x:row>
    <x:row r="22" ht="15" hidden="0" customHeight="1">
      <x:c r="A22" s="75" t="str">
        <x:v>MFC-001-T066</x:v>
      </x:c>
      <x:c r="B22" s="76" t="n">
        <x:v>1</x:v>
      </x:c>
      <x:c r="C22" s="80" t="n">
        <x:v>66</x:v>
      </x:c>
      <x:c r="D22" s="83"/>
      <x:c r="E22" s="45" t="str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45" t="str"/>
      <x:c r="R22" s="70" t="str"/>
    </x:row>
    <x:row r="23" ht="15" hidden="0" customHeight="1">
      <x:c r="A23" s="77" t="str">
        <x:v>MFC-001-T072</x:v>
      </x:c>
      <x:c r="B23" s="78" t="n">
        <x:v>1</x:v>
      </x:c>
      <x:c r="C23" s="81" t="n">
        <x:v>72</x:v>
      </x:c>
      <x:c r="D23" s="84"/>
      <x:c r="E23" s="46" t="str"/>
      <x:c r="F23" s="87"/>
      <x:c r="G23" s="87"/>
      <x:c r="H23" s="87"/>
      <x:c r="I23" s="87"/>
      <x:c r="J23" s="87"/>
      <x:c r="K23" s="87"/>
      <x:c r="L23" s="87"/>
      <x:c r="M23" s="87"/>
      <x:c r="N23" s="87"/>
      <x:c r="O23" s="87"/>
      <x:c r="P23" s="87"/>
      <x:c r="Q23" s="46" t="str"/>
      <x:c r="R23" s="72" t="str"/>
    </x:row>
  </x:sheetData>
  <x:dataValidations count="2">
    <x:dataValidation type="list" sqref="E6:E23">
      <x:formula1>"Loaded circuit,Open circuit,Short circuit"</x:formula1>
    </x:dataValidation>
    <x:dataValidation type="list" sqref="R6:R23">
      <x:formula1>"OK,Missing,Instrument check,Protocol deviation,Exclude with reason"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989219b2324b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0" hidden="0" customWidth="1"/>
    <x:col min="4" max="4" width="16" hidden="0" customWidth="1"/>
    <x:col min="5" max="5" width="15" hidden="0" customWidth="1"/>
    <x:col min="6" max="6" width="20" hidden="0" customWidth="1"/>
    <x:col min="7" max="7" width="24" hidden="0" customWidth="1"/>
    <x:col min="8" max="8" width="22" hidden="0" customWidth="1"/>
    <x:col min="9" max="9" width="21" hidden="0" customWidth="1"/>
    <x:col min="10" max="10" width="24" hidden="0" customWidth="1"/>
    <x:col min="11" max="11" width="28" hidden="0" customWidth="1"/>
  </x:cols>
  <x:sheetData>
    <x:row r="1" ht="35" customHeight="1">
      <x:c r="A1" s="5" t="str">
        <x:v>Calculations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5" customHeight="1">
      <x:c r="A2" s="7" t="str">
        <x:v>Formula-derived values · do not type over this sheet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48" hidden="0" customHeight="1">
      <x:c r="A4" s="89" t="str">
        <x:v>Blank outputs mean the required raw measurements are absent or incompatible; blanks are not zeros.</x:v>
      </x:c>
      <x:c r="B4" s="89"/>
      <x:c r="C4" s="89"/>
      <x:c r="D4" s="89"/>
      <x:c r="E4" s="89"/>
      <x:c r="F4" s="89"/>
      <x:c r="G4" s="89"/>
      <x:c r="H4" s="89"/>
      <x:c r="I4" s="89"/>
      <x:c r="J4" s="89"/>
      <x:c r="K4" s="89"/>
    </x:row>
    <x:row r="5" ht="15" hidden="0" customHeight="1">
      <x:c r="A5" s="13" t="str">
        <x:v>Measurement_ID</x:v>
      </x:c>
      <x:c r="B5" s="19" t="str">
        <x:v>Elapsed_h</x:v>
      </x:c>
      <x:c r="C5" s="19" t="str">
        <x:v>Loaded_voltage_V</x:v>
      </x:c>
      <x:c r="D5" s="19" t="str">
        <x:v>Current_mA</x:v>
      </x:c>
      <x:c r="E5" s="19" t="str">
        <x:v>Power_mW</x:v>
      </x:c>
      <x:c r="F5" s="19" t="str">
        <x:v>Exposed_area_cm2</x:v>
      </x:c>
      <x:c r="G5" s="19" t="str">
        <x:v>Power_density_mW_m2</x:v>
      </x:c>
      <x:c r="H5" s="19" t="str">
        <x:v>COD_removal_percent</x:v>
      </x:c>
      <x:c r="I5" s="19" t="str">
        <x:v>Interval_energy_mWh</x:v>
      </x:c>
      <x:c r="J5" s="19" t="str">
        <x:v>Cumulative_energy_mWh</x:v>
      </x:c>
      <x:c r="K5" s="14" t="str">
        <x:v>Calculation_status</x:v>
      </x:c>
    </x:row>
    <x:row r="6" ht="24" hidden="0" customHeight="1">
      <x:c r="A6" s="90" t="str">
        <x:f>'Raw Measurements'!A6</x:f>
        <x:v>MFC-001-T000</x:v>
      </x:c>
      <x:c r="B6" s="99" t="n">
        <x:f>'Raw Measurements'!C6</x:f>
        <x:v>0</x:v>
      </x:c>
      <x:c r="C6" s="102" t="str">
        <x:f>IF('Raw Measurements'!F6="","",'Raw Measurements'!F6/1000)</x:f>
      </x:c>
      <x:c r="D6" s="102" t="str">
        <x:f>IF('Raw Measurements'!I6&lt;&gt;"",'Raw Measurements'!I6,IF(AND('Raw Measurements'!F6&lt;&gt;"",'Raw Measurements'!H6&gt;0),'Raw Measurements'!F6/'Raw Measurements'!H6,""))</x:f>
      </x:c>
      <x:c r="E6" s="102" t="str">
        <x:f>IF(AND(C6&lt;&gt;"",D6&lt;&gt;""),C6*D6,"")</x:f>
      </x:c>
      <x:c r="F6" s="102" t="str">
        <x:f>'Experiment Metadata'!B24</x:f>
      </x:c>
      <x:c r="G6" s="102" t="str">
        <x:f>IF(AND(E6&lt;&gt;"",F6&gt;0),E6/(F6*0.0001),"")</x:f>
      </x:c>
      <x:c r="H6" s="102" t="str">
        <x:f>IF(AND('Raw Measurements'!O6&gt;0,'Raw Measurements'!P6&lt;&gt;""),(('Raw Measurements'!O6-'Raw Measurements'!P6)/'Raw Measurements'!O6)*100,"")</x:f>
      </x:c>
      <x:c r="I6" s="102" t="str">
        <x:f>IF(E6="","",0)</x:f>
      </x:c>
      <x:c r="J6" s="102" t="str">
        <x:f>IF(COUNT($I$6:I6)=0,"",SUM($I$6:I6))</x:f>
      </x:c>
      <x:c r="K6" s="108" t="str">
        <x:f>IF('Raw Measurements'!E6="Open circuit","OCV only",IF(E6="","Awaiting compatible loaded measurements","Calculated"))</x:f>
        <x:v>Awaiting compatible loaded measurements</x:v>
      </x:c>
    </x:row>
    <x:row r="7" ht="24" hidden="0" customHeight="1">
      <x:c r="A7" s="92" t="str">
        <x:f>'Raw Measurements'!A7</x:f>
        <x:v>MFC-001-T001</x:v>
      </x:c>
      <x:c r="B7" s="100" t="n">
        <x:f>'Raw Measurements'!C7</x:f>
        <x:v>1</x:v>
      </x:c>
      <x:c r="C7" s="103" t="str">
        <x:f>IF('Raw Measurements'!F7="","",'Raw Measurements'!F7/1000)</x:f>
      </x:c>
      <x:c r="D7" s="103" t="str">
        <x:f>IF('Raw Measurements'!I7&lt;&gt;"",'Raw Measurements'!I7,IF(AND('Raw Measurements'!F7&lt;&gt;"",'Raw Measurements'!H7&gt;0),'Raw Measurements'!F7/'Raw Measurements'!H7,""))</x:f>
      </x:c>
      <x:c r="E7" s="103" t="str">
        <x:f>IF(AND(C7&lt;&gt;"",D7&lt;&gt;""),C7*D7,"")</x:f>
      </x:c>
      <x:c r="F7" s="103" t="str">
        <x:f>'Experiment Metadata'!B24</x:f>
      </x:c>
      <x:c r="G7" s="103" t="str">
        <x:f>IF(AND(E7&lt;&gt;"",F7&gt;0),E7/(F7*0.0001),"")</x:f>
      </x:c>
      <x:c r="H7" s="103" t="str">
        <x:f>IF(AND('Raw Measurements'!O7&gt;0,'Raw Measurements'!P7&lt;&gt;""),(('Raw Measurements'!O7-'Raw Measurements'!P7)/'Raw Measurements'!O7)*100,"")</x:f>
      </x:c>
      <x:c r="I7" s="103" t="str">
        <x:f>IF(OR(E7="",E6="",B7="",B6=""),"",((E7+E6)/2)*(B7-B6))</x:f>
      </x:c>
      <x:c r="J7" s="103" t="str">
        <x:f>IF(COUNT($I$6:I7)=0,"",SUM($I$6:I7))</x:f>
      </x:c>
      <x:c r="K7" s="109" t="str">
        <x:f>IF('Raw Measurements'!E7="Open circuit","OCV only",IF(E7="","Awaiting compatible loaded measurements","Calculated"))</x:f>
        <x:v>Awaiting compatible loaded measurements</x:v>
      </x:c>
    </x:row>
    <x:row r="8" ht="24" hidden="0" customHeight="1">
      <x:c r="A8" s="92" t="str">
        <x:f>'Raw Measurements'!A8</x:f>
        <x:v>MFC-001-T002</x:v>
      </x:c>
      <x:c r="B8" s="100" t="n">
        <x:f>'Raw Measurements'!C8</x:f>
        <x:v>2</x:v>
      </x:c>
      <x:c r="C8" s="103" t="str">
        <x:f>IF('Raw Measurements'!F8="","",'Raw Measurements'!F8/1000)</x:f>
      </x:c>
      <x:c r="D8" s="103" t="str">
        <x:f>IF('Raw Measurements'!I8&lt;&gt;"",'Raw Measurements'!I8,IF(AND('Raw Measurements'!F8&lt;&gt;"",'Raw Measurements'!H8&gt;0),'Raw Measurements'!F8/'Raw Measurements'!H8,""))</x:f>
      </x:c>
      <x:c r="E8" s="103" t="str">
        <x:f>IF(AND(C8&lt;&gt;"",D8&lt;&gt;""),C8*D8,"")</x:f>
      </x:c>
      <x:c r="F8" s="103" t="str">
        <x:f>'Experiment Metadata'!B24</x:f>
      </x:c>
      <x:c r="G8" s="103" t="str">
        <x:f>IF(AND(E8&lt;&gt;"",F8&gt;0),E8/(F8*0.0001),"")</x:f>
      </x:c>
      <x:c r="H8" s="103" t="str">
        <x:f>IF(AND('Raw Measurements'!O8&gt;0,'Raw Measurements'!P8&lt;&gt;""),(('Raw Measurements'!O8-'Raw Measurements'!P8)/'Raw Measurements'!O8)*100,"")</x:f>
      </x:c>
      <x:c r="I8" s="103" t="str">
        <x:f>IF(OR(E8="",E7="",B8="",B7=""),"",((E8+E7)/2)*(B8-B7))</x:f>
      </x:c>
      <x:c r="J8" s="103" t="str">
        <x:f>IF(COUNT($I$6:I8)=0,"",SUM($I$6:I8))</x:f>
      </x:c>
      <x:c r="K8" s="109" t="str">
        <x:f>IF('Raw Measurements'!E8="Open circuit","OCV only",IF(E8="","Awaiting compatible loaded measurements","Calculated"))</x:f>
        <x:v>Awaiting compatible loaded measurements</x:v>
      </x:c>
    </x:row>
    <x:row r="9" ht="24" hidden="0" customHeight="1">
      <x:c r="A9" s="92" t="str">
        <x:f>'Raw Measurements'!A9</x:f>
        <x:v>MFC-001-T003</x:v>
      </x:c>
      <x:c r="B9" s="100" t="n">
        <x:f>'Raw Measurements'!C9</x:f>
        <x:v>3</x:v>
      </x:c>
      <x:c r="C9" s="103" t="str">
        <x:f>IF('Raw Measurements'!F9="","",'Raw Measurements'!F9/1000)</x:f>
      </x:c>
      <x:c r="D9" s="103" t="str">
        <x:f>IF('Raw Measurements'!I9&lt;&gt;"",'Raw Measurements'!I9,IF(AND('Raw Measurements'!F9&lt;&gt;"",'Raw Measurements'!H9&gt;0),'Raw Measurements'!F9/'Raw Measurements'!H9,""))</x:f>
      </x:c>
      <x:c r="E9" s="103" t="str">
        <x:f>IF(AND(C9&lt;&gt;"",D9&lt;&gt;""),C9*D9,"")</x:f>
      </x:c>
      <x:c r="F9" s="103" t="str">
        <x:f>'Experiment Metadata'!B24</x:f>
      </x:c>
      <x:c r="G9" s="103" t="str">
        <x:f>IF(AND(E9&lt;&gt;"",F9&gt;0),E9/(F9*0.0001),"")</x:f>
      </x:c>
      <x:c r="H9" s="103" t="str">
        <x:f>IF(AND('Raw Measurements'!O9&gt;0,'Raw Measurements'!P9&lt;&gt;""),(('Raw Measurements'!O9-'Raw Measurements'!P9)/'Raw Measurements'!O9)*100,"")</x:f>
      </x:c>
      <x:c r="I9" s="103" t="str">
        <x:f>IF(OR(E9="",E8="",B9="",B8=""),"",((E9+E8)/2)*(B9-B8))</x:f>
      </x:c>
      <x:c r="J9" s="103" t="str">
        <x:f>IF(COUNT($I$6:I9)=0,"",SUM($I$6:I9))</x:f>
      </x:c>
      <x:c r="K9" s="109" t="str">
        <x:f>IF('Raw Measurements'!E9="Open circuit","OCV only",IF(E9="","Awaiting compatible loaded measurements","Calculated"))</x:f>
        <x:v>Awaiting compatible loaded measurements</x:v>
      </x:c>
    </x:row>
    <x:row r="10" ht="24" hidden="0" customHeight="1">
      <x:c r="A10" s="92" t="str">
        <x:f>'Raw Measurements'!A10</x:f>
        <x:v>MFC-001-T004</x:v>
      </x:c>
      <x:c r="B10" s="100" t="n">
        <x:f>'Raw Measurements'!C10</x:f>
        <x:v>4</x:v>
      </x:c>
      <x:c r="C10" s="103" t="str">
        <x:f>IF('Raw Measurements'!F10="","",'Raw Measurements'!F10/1000)</x:f>
      </x:c>
      <x:c r="D10" s="103" t="str">
        <x:f>IF('Raw Measurements'!I10&lt;&gt;"",'Raw Measurements'!I10,IF(AND('Raw Measurements'!F10&lt;&gt;"",'Raw Measurements'!H10&gt;0),'Raw Measurements'!F10/'Raw Measurements'!H10,""))</x:f>
      </x:c>
      <x:c r="E10" s="103" t="str">
        <x:f>IF(AND(C10&lt;&gt;"",D10&lt;&gt;""),C10*D10,"")</x:f>
      </x:c>
      <x:c r="F10" s="103" t="str">
        <x:f>'Experiment Metadata'!B24</x:f>
      </x:c>
      <x:c r="G10" s="103" t="str">
        <x:f>IF(AND(E10&lt;&gt;"",F10&gt;0),E10/(F10*0.0001),"")</x:f>
      </x:c>
      <x:c r="H10" s="103" t="str">
        <x:f>IF(AND('Raw Measurements'!O10&gt;0,'Raw Measurements'!P10&lt;&gt;""),(('Raw Measurements'!O10-'Raw Measurements'!P10)/'Raw Measurements'!O10)*100,"")</x:f>
      </x:c>
      <x:c r="I10" s="103" t="str">
        <x:f>IF(OR(E10="",E9="",B10="",B9=""),"",((E10+E9)/2)*(B10-B9))</x:f>
      </x:c>
      <x:c r="J10" s="103" t="str">
        <x:f>IF(COUNT($I$6:I10)=0,"",SUM($I$6:I10))</x:f>
      </x:c>
      <x:c r="K10" s="109" t="str">
        <x:f>IF('Raw Measurements'!E10="Open circuit","OCV only",IF(E10="","Awaiting compatible loaded measurements","Calculated"))</x:f>
        <x:v>Awaiting compatible loaded measurements</x:v>
      </x:c>
    </x:row>
    <x:row r="11" ht="24" hidden="0" customHeight="1">
      <x:c r="A11" s="92" t="str">
        <x:f>'Raw Measurements'!A11</x:f>
        <x:v>MFC-001-T005</x:v>
      </x:c>
      <x:c r="B11" s="100" t="n">
        <x:f>'Raw Measurements'!C11</x:f>
        <x:v>5</x:v>
      </x:c>
      <x:c r="C11" s="103" t="str">
        <x:f>IF('Raw Measurements'!F11="","",'Raw Measurements'!F11/1000)</x:f>
      </x:c>
      <x:c r="D11" s="103" t="str">
        <x:f>IF('Raw Measurements'!I11&lt;&gt;"",'Raw Measurements'!I11,IF(AND('Raw Measurements'!F11&lt;&gt;"",'Raw Measurements'!H11&gt;0),'Raw Measurements'!F11/'Raw Measurements'!H11,""))</x:f>
      </x:c>
      <x:c r="E11" s="103" t="str">
        <x:f>IF(AND(C11&lt;&gt;"",D11&lt;&gt;""),C11*D11,"")</x:f>
      </x:c>
      <x:c r="F11" s="103" t="str">
        <x:f>'Experiment Metadata'!B24</x:f>
      </x:c>
      <x:c r="G11" s="103" t="str">
        <x:f>IF(AND(E11&lt;&gt;"",F11&gt;0),E11/(F11*0.0001),"")</x:f>
      </x:c>
      <x:c r="H11" s="103" t="str">
        <x:f>IF(AND('Raw Measurements'!O11&gt;0,'Raw Measurements'!P11&lt;&gt;""),(('Raw Measurements'!O11-'Raw Measurements'!P11)/'Raw Measurements'!O11)*100,"")</x:f>
      </x:c>
      <x:c r="I11" s="103" t="str">
        <x:f>IF(OR(E11="",E10="",B11="",B10=""),"",((E11+E10)/2)*(B11-B10))</x:f>
      </x:c>
      <x:c r="J11" s="103" t="str">
        <x:f>IF(COUNT($I$6:I11)=0,"",SUM($I$6:I11))</x:f>
      </x:c>
      <x:c r="K11" s="109" t="str">
        <x:f>IF('Raw Measurements'!E11="Open circuit","OCV only",IF(E11="","Awaiting compatible loaded measurements","Calculated"))</x:f>
        <x:v>Awaiting compatible loaded measurements</x:v>
      </x:c>
    </x:row>
    <x:row r="12" ht="24" hidden="0" customHeight="1">
      <x:c r="A12" s="92" t="str">
        <x:f>'Raw Measurements'!A12</x:f>
        <x:v>MFC-001-T006</x:v>
      </x:c>
      <x:c r="B12" s="100" t="n">
        <x:f>'Raw Measurements'!C12</x:f>
        <x:v>6</x:v>
      </x:c>
      <x:c r="C12" s="103" t="str">
        <x:f>IF('Raw Measurements'!F12="","",'Raw Measurements'!F12/1000)</x:f>
      </x:c>
      <x:c r="D12" s="103" t="str">
        <x:f>IF('Raw Measurements'!I12&lt;&gt;"",'Raw Measurements'!I12,IF(AND('Raw Measurements'!F12&lt;&gt;"",'Raw Measurements'!H12&gt;0),'Raw Measurements'!F12/'Raw Measurements'!H12,""))</x:f>
      </x:c>
      <x:c r="E12" s="103" t="str">
        <x:f>IF(AND(C12&lt;&gt;"",D12&lt;&gt;""),C12*D12,"")</x:f>
      </x:c>
      <x:c r="F12" s="103" t="str">
        <x:f>'Experiment Metadata'!B24</x:f>
      </x:c>
      <x:c r="G12" s="103" t="str">
        <x:f>IF(AND(E12&lt;&gt;"",F12&gt;0),E12/(F12*0.0001),"")</x:f>
      </x:c>
      <x:c r="H12" s="103" t="str">
        <x:f>IF(AND('Raw Measurements'!O12&gt;0,'Raw Measurements'!P12&lt;&gt;""),(('Raw Measurements'!O12-'Raw Measurements'!P12)/'Raw Measurements'!O12)*100,"")</x:f>
      </x:c>
      <x:c r="I12" s="103" t="str">
        <x:f>IF(OR(E12="",E11="",B12="",B11=""),"",((E12+E11)/2)*(B12-B11))</x:f>
      </x:c>
      <x:c r="J12" s="103" t="str">
        <x:f>IF(COUNT($I$6:I12)=0,"",SUM($I$6:I12))</x:f>
      </x:c>
      <x:c r="K12" s="109" t="str">
        <x:f>IF('Raw Measurements'!E12="Open circuit","OCV only",IF(E12="","Awaiting compatible loaded measurements","Calculated"))</x:f>
        <x:v>Awaiting compatible loaded measurements</x:v>
      </x:c>
    </x:row>
    <x:row r="13" ht="24" hidden="0" customHeight="1">
      <x:c r="A13" s="92" t="str">
        <x:f>'Raw Measurements'!A13</x:f>
        <x:v>MFC-001-T012</x:v>
      </x:c>
      <x:c r="B13" s="100" t="n">
        <x:f>'Raw Measurements'!C13</x:f>
        <x:v>12</x:v>
      </x:c>
      <x:c r="C13" s="103" t="str">
        <x:f>IF('Raw Measurements'!F13="","",'Raw Measurements'!F13/1000)</x:f>
      </x:c>
      <x:c r="D13" s="103" t="str">
        <x:f>IF('Raw Measurements'!I13&lt;&gt;"",'Raw Measurements'!I13,IF(AND('Raw Measurements'!F13&lt;&gt;"",'Raw Measurements'!H13&gt;0),'Raw Measurements'!F13/'Raw Measurements'!H13,""))</x:f>
      </x:c>
      <x:c r="E13" s="103" t="str">
        <x:f>IF(AND(C13&lt;&gt;"",D13&lt;&gt;""),C13*D13,"")</x:f>
      </x:c>
      <x:c r="F13" s="103" t="str">
        <x:f>'Experiment Metadata'!B24</x:f>
      </x:c>
      <x:c r="G13" s="103" t="str">
        <x:f>IF(AND(E13&lt;&gt;"",F13&gt;0),E13/(F13*0.0001),"")</x:f>
      </x:c>
      <x:c r="H13" s="103" t="str">
        <x:f>IF(AND('Raw Measurements'!O13&gt;0,'Raw Measurements'!P13&lt;&gt;""),(('Raw Measurements'!O13-'Raw Measurements'!P13)/'Raw Measurements'!O13)*100,"")</x:f>
      </x:c>
      <x:c r="I13" s="103" t="str">
        <x:f>IF(OR(E13="",E12="",B13="",B12=""),"",((E13+E12)/2)*(B13-B12))</x:f>
      </x:c>
      <x:c r="J13" s="103" t="str">
        <x:f>IF(COUNT($I$6:I13)=0,"",SUM($I$6:I13))</x:f>
      </x:c>
      <x:c r="K13" s="109" t="str">
        <x:f>IF('Raw Measurements'!E13="Open circuit","OCV only",IF(E13="","Awaiting compatible loaded measurements","Calculated"))</x:f>
        <x:v>Awaiting compatible loaded measurements</x:v>
      </x:c>
    </x:row>
    <x:row r="14" ht="24" hidden="0" customHeight="1">
      <x:c r="A14" s="92" t="str">
        <x:f>'Raw Measurements'!A14</x:f>
        <x:v>MFC-001-T018</x:v>
      </x:c>
      <x:c r="B14" s="100" t="n">
        <x:f>'Raw Measurements'!C14</x:f>
        <x:v>18</x:v>
      </x:c>
      <x:c r="C14" s="103" t="str">
        <x:f>IF('Raw Measurements'!F14="","",'Raw Measurements'!F14/1000)</x:f>
      </x:c>
      <x:c r="D14" s="103" t="str">
        <x:f>IF('Raw Measurements'!I14&lt;&gt;"",'Raw Measurements'!I14,IF(AND('Raw Measurements'!F14&lt;&gt;"",'Raw Measurements'!H14&gt;0),'Raw Measurements'!F14/'Raw Measurements'!H14,""))</x:f>
      </x:c>
      <x:c r="E14" s="103" t="str">
        <x:f>IF(AND(C14&lt;&gt;"",D14&lt;&gt;""),C14*D14,"")</x:f>
      </x:c>
      <x:c r="F14" s="103" t="str">
        <x:f>'Experiment Metadata'!B24</x:f>
      </x:c>
      <x:c r="G14" s="103" t="str">
        <x:f>IF(AND(E14&lt;&gt;"",F14&gt;0),E14/(F14*0.0001),"")</x:f>
      </x:c>
      <x:c r="H14" s="103" t="str">
        <x:f>IF(AND('Raw Measurements'!O14&gt;0,'Raw Measurements'!P14&lt;&gt;""),(('Raw Measurements'!O14-'Raw Measurements'!P14)/'Raw Measurements'!O14)*100,"")</x:f>
      </x:c>
      <x:c r="I14" s="103" t="str">
        <x:f>IF(OR(E14="",E13="",B14="",B13=""),"",((E14+E13)/2)*(B14-B13))</x:f>
      </x:c>
      <x:c r="J14" s="103" t="str">
        <x:f>IF(COUNT($I$6:I14)=0,"",SUM($I$6:I14))</x:f>
      </x:c>
      <x:c r="K14" s="109" t="str">
        <x:f>IF('Raw Measurements'!E14="Open circuit","OCV only",IF(E14="","Awaiting compatible loaded measurements","Calculated"))</x:f>
        <x:v>Awaiting compatible loaded measurements</x:v>
      </x:c>
    </x:row>
    <x:row r="15" ht="24" hidden="0" customHeight="1">
      <x:c r="A15" s="92" t="str">
        <x:f>'Raw Measurements'!A15</x:f>
        <x:v>MFC-001-T024</x:v>
      </x:c>
      <x:c r="B15" s="100" t="n">
        <x:f>'Raw Measurements'!C15</x:f>
        <x:v>24</x:v>
      </x:c>
      <x:c r="C15" s="103" t="str">
        <x:f>IF('Raw Measurements'!F15="","",'Raw Measurements'!F15/1000)</x:f>
      </x:c>
      <x:c r="D15" s="103" t="str">
        <x:f>IF('Raw Measurements'!I15&lt;&gt;"",'Raw Measurements'!I15,IF(AND('Raw Measurements'!F15&lt;&gt;"",'Raw Measurements'!H15&gt;0),'Raw Measurements'!F15/'Raw Measurements'!H15,""))</x:f>
      </x:c>
      <x:c r="E15" s="103" t="str">
        <x:f>IF(AND(C15&lt;&gt;"",D15&lt;&gt;""),C15*D15,"")</x:f>
      </x:c>
      <x:c r="F15" s="103" t="str">
        <x:f>'Experiment Metadata'!B24</x:f>
      </x:c>
      <x:c r="G15" s="103" t="str">
        <x:f>IF(AND(E15&lt;&gt;"",F15&gt;0),E15/(F15*0.0001),"")</x:f>
      </x:c>
      <x:c r="H15" s="103" t="str">
        <x:f>IF(AND('Raw Measurements'!O15&gt;0,'Raw Measurements'!P15&lt;&gt;""),(('Raw Measurements'!O15-'Raw Measurements'!P15)/'Raw Measurements'!O15)*100,"")</x:f>
      </x:c>
      <x:c r="I15" s="103" t="str">
        <x:f>IF(OR(E15="",E14="",B15="",B14=""),"",((E15+E14)/2)*(B15-B14))</x:f>
      </x:c>
      <x:c r="J15" s="103" t="str">
        <x:f>IF(COUNT($I$6:I15)=0,"",SUM($I$6:I15))</x:f>
      </x:c>
      <x:c r="K15" s="109" t="str">
        <x:f>IF('Raw Measurements'!E15="Open circuit","OCV only",IF(E15="","Awaiting compatible loaded measurements","Calculated"))</x:f>
        <x:v>Awaiting compatible loaded measurements</x:v>
      </x:c>
    </x:row>
    <x:row r="16" ht="24" hidden="0" customHeight="1">
      <x:c r="A16" s="92" t="str">
        <x:f>'Raw Measurements'!A16</x:f>
        <x:v>MFC-001-T030</x:v>
      </x:c>
      <x:c r="B16" s="100" t="n">
        <x:f>'Raw Measurements'!C16</x:f>
        <x:v>30</x:v>
      </x:c>
      <x:c r="C16" s="103" t="str">
        <x:f>IF('Raw Measurements'!F16="","",'Raw Measurements'!F16/1000)</x:f>
      </x:c>
      <x:c r="D16" s="103" t="str">
        <x:f>IF('Raw Measurements'!I16&lt;&gt;"",'Raw Measurements'!I16,IF(AND('Raw Measurements'!F16&lt;&gt;"",'Raw Measurements'!H16&gt;0),'Raw Measurements'!F16/'Raw Measurements'!H16,""))</x:f>
      </x:c>
      <x:c r="E16" s="103" t="str">
        <x:f>IF(AND(C16&lt;&gt;"",D16&lt;&gt;""),C16*D16,"")</x:f>
      </x:c>
      <x:c r="F16" s="103" t="str">
        <x:f>'Experiment Metadata'!B24</x:f>
      </x:c>
      <x:c r="G16" s="103" t="str">
        <x:f>IF(AND(E16&lt;&gt;"",F16&gt;0),E16/(F16*0.0001),"")</x:f>
      </x:c>
      <x:c r="H16" s="103" t="str">
        <x:f>IF(AND('Raw Measurements'!O16&gt;0,'Raw Measurements'!P16&lt;&gt;""),(('Raw Measurements'!O16-'Raw Measurements'!P16)/'Raw Measurements'!O16)*100,"")</x:f>
      </x:c>
      <x:c r="I16" s="103" t="str">
        <x:f>IF(OR(E16="",E15="",B16="",B15=""),"",((E16+E15)/2)*(B16-B15))</x:f>
      </x:c>
      <x:c r="J16" s="103" t="str">
        <x:f>IF(COUNT($I$6:I16)=0,"",SUM($I$6:I16))</x:f>
      </x:c>
      <x:c r="K16" s="109" t="str">
        <x:f>IF('Raw Measurements'!E16="Open circuit","OCV only",IF(E16="","Awaiting compatible loaded measurements","Calculated"))</x:f>
        <x:v>Awaiting compatible loaded measurements</x:v>
      </x:c>
    </x:row>
    <x:row r="17" ht="24" hidden="0" customHeight="1">
      <x:c r="A17" s="92" t="str">
        <x:f>'Raw Measurements'!A17</x:f>
        <x:v>MFC-001-T036</x:v>
      </x:c>
      <x:c r="B17" s="100" t="n">
        <x:f>'Raw Measurements'!C17</x:f>
        <x:v>36</x:v>
      </x:c>
      <x:c r="C17" s="103" t="str">
        <x:f>IF('Raw Measurements'!F17="","",'Raw Measurements'!F17/1000)</x:f>
      </x:c>
      <x:c r="D17" s="103" t="str">
        <x:f>IF('Raw Measurements'!I17&lt;&gt;"",'Raw Measurements'!I17,IF(AND('Raw Measurements'!F17&lt;&gt;"",'Raw Measurements'!H17&gt;0),'Raw Measurements'!F17/'Raw Measurements'!H17,""))</x:f>
      </x:c>
      <x:c r="E17" s="103" t="str">
        <x:f>IF(AND(C17&lt;&gt;"",D17&lt;&gt;""),C17*D17,"")</x:f>
      </x:c>
      <x:c r="F17" s="103" t="str">
        <x:f>'Experiment Metadata'!B24</x:f>
      </x:c>
      <x:c r="G17" s="103" t="str">
        <x:f>IF(AND(E17&lt;&gt;"",F17&gt;0),E17/(F17*0.0001),"")</x:f>
      </x:c>
      <x:c r="H17" s="103" t="str">
        <x:f>IF(AND('Raw Measurements'!O17&gt;0,'Raw Measurements'!P17&lt;&gt;""),(('Raw Measurements'!O17-'Raw Measurements'!P17)/'Raw Measurements'!O17)*100,"")</x:f>
      </x:c>
      <x:c r="I17" s="103" t="str">
        <x:f>IF(OR(E17="",E16="",B17="",B16=""),"",((E17+E16)/2)*(B17-B16))</x:f>
      </x:c>
      <x:c r="J17" s="103" t="str">
        <x:f>IF(COUNT($I$6:I17)=0,"",SUM($I$6:I17))</x:f>
      </x:c>
      <x:c r="K17" s="109" t="str">
        <x:f>IF('Raw Measurements'!E17="Open circuit","OCV only",IF(E17="","Awaiting compatible loaded measurements","Calculated"))</x:f>
        <x:v>Awaiting compatible loaded measurements</x:v>
      </x:c>
    </x:row>
    <x:row r="18" ht="24" hidden="0" customHeight="1">
      <x:c r="A18" s="92" t="str">
        <x:f>'Raw Measurements'!A18</x:f>
        <x:v>MFC-001-T042</x:v>
      </x:c>
      <x:c r="B18" s="100" t="n">
        <x:f>'Raw Measurements'!C18</x:f>
        <x:v>42</x:v>
      </x:c>
      <x:c r="C18" s="103" t="str">
        <x:f>IF('Raw Measurements'!F18="","",'Raw Measurements'!F18/1000)</x:f>
      </x:c>
      <x:c r="D18" s="103" t="str">
        <x:f>IF('Raw Measurements'!I18&lt;&gt;"",'Raw Measurements'!I18,IF(AND('Raw Measurements'!F18&lt;&gt;"",'Raw Measurements'!H18&gt;0),'Raw Measurements'!F18/'Raw Measurements'!H18,""))</x:f>
      </x:c>
      <x:c r="E18" s="103" t="str">
        <x:f>IF(AND(C18&lt;&gt;"",D18&lt;&gt;""),C18*D18,"")</x:f>
      </x:c>
      <x:c r="F18" s="103" t="str">
        <x:f>'Experiment Metadata'!B24</x:f>
      </x:c>
      <x:c r="G18" s="103" t="str">
        <x:f>IF(AND(E18&lt;&gt;"",F18&gt;0),E18/(F18*0.0001),"")</x:f>
      </x:c>
      <x:c r="H18" s="103" t="str">
        <x:f>IF(AND('Raw Measurements'!O18&gt;0,'Raw Measurements'!P18&lt;&gt;""),(('Raw Measurements'!O18-'Raw Measurements'!P18)/'Raw Measurements'!O18)*100,"")</x:f>
      </x:c>
      <x:c r="I18" s="103" t="str">
        <x:f>IF(OR(E18="",E17="",B18="",B17=""),"",((E18+E17)/2)*(B18-B17))</x:f>
      </x:c>
      <x:c r="J18" s="103" t="str">
        <x:f>IF(COUNT($I$6:I18)=0,"",SUM($I$6:I18))</x:f>
      </x:c>
      <x:c r="K18" s="109" t="str">
        <x:f>IF('Raw Measurements'!E18="Open circuit","OCV only",IF(E18="","Awaiting compatible loaded measurements","Calculated"))</x:f>
        <x:v>Awaiting compatible loaded measurements</x:v>
      </x:c>
    </x:row>
    <x:row r="19" ht="24" hidden="0" customHeight="1">
      <x:c r="A19" s="92" t="str">
        <x:f>'Raw Measurements'!A19</x:f>
        <x:v>MFC-001-T048</x:v>
      </x:c>
      <x:c r="B19" s="100" t="n">
        <x:f>'Raw Measurements'!C19</x:f>
        <x:v>48</x:v>
      </x:c>
      <x:c r="C19" s="103" t="str">
        <x:f>IF('Raw Measurements'!F19="","",'Raw Measurements'!F19/1000)</x:f>
      </x:c>
      <x:c r="D19" s="103" t="str">
        <x:f>IF('Raw Measurements'!I19&lt;&gt;"",'Raw Measurements'!I19,IF(AND('Raw Measurements'!F19&lt;&gt;"",'Raw Measurements'!H19&gt;0),'Raw Measurements'!F19/'Raw Measurements'!H19,""))</x:f>
      </x:c>
      <x:c r="E19" s="103" t="str">
        <x:f>IF(AND(C19&lt;&gt;"",D19&lt;&gt;""),C19*D19,"")</x:f>
      </x:c>
      <x:c r="F19" s="103" t="str">
        <x:f>'Experiment Metadata'!B24</x:f>
      </x:c>
      <x:c r="G19" s="103" t="str">
        <x:f>IF(AND(E19&lt;&gt;"",F19&gt;0),E19/(F19*0.0001),"")</x:f>
      </x:c>
      <x:c r="H19" s="103" t="str">
        <x:f>IF(AND('Raw Measurements'!O19&gt;0,'Raw Measurements'!P19&lt;&gt;""),(('Raw Measurements'!O19-'Raw Measurements'!P19)/'Raw Measurements'!O19)*100,"")</x:f>
      </x:c>
      <x:c r="I19" s="103" t="str">
        <x:f>IF(OR(E19="",E18="",B19="",B18=""),"",((E19+E18)/2)*(B19-B18))</x:f>
      </x:c>
      <x:c r="J19" s="103" t="str">
        <x:f>IF(COUNT($I$6:I19)=0,"",SUM($I$6:I19))</x:f>
      </x:c>
      <x:c r="K19" s="109" t="str">
        <x:f>IF('Raw Measurements'!E19="Open circuit","OCV only",IF(E19="","Awaiting compatible loaded measurements","Calculated"))</x:f>
        <x:v>Awaiting compatible loaded measurements</x:v>
      </x:c>
    </x:row>
    <x:row r="20" ht="24" hidden="0" customHeight="1">
      <x:c r="A20" s="92" t="str">
        <x:f>'Raw Measurements'!A20</x:f>
        <x:v>MFC-001-T054</x:v>
      </x:c>
      <x:c r="B20" s="100" t="n">
        <x:f>'Raw Measurements'!C20</x:f>
        <x:v>54</x:v>
      </x:c>
      <x:c r="C20" s="103" t="str">
        <x:f>IF('Raw Measurements'!F20="","",'Raw Measurements'!F20/1000)</x:f>
      </x:c>
      <x:c r="D20" s="103" t="str">
        <x:f>IF('Raw Measurements'!I20&lt;&gt;"",'Raw Measurements'!I20,IF(AND('Raw Measurements'!F20&lt;&gt;"",'Raw Measurements'!H20&gt;0),'Raw Measurements'!F20/'Raw Measurements'!H20,""))</x:f>
      </x:c>
      <x:c r="E20" s="103" t="str">
        <x:f>IF(AND(C20&lt;&gt;"",D20&lt;&gt;""),C20*D20,"")</x:f>
      </x:c>
      <x:c r="F20" s="103" t="str">
        <x:f>'Experiment Metadata'!B24</x:f>
      </x:c>
      <x:c r="G20" s="103" t="str">
        <x:f>IF(AND(E20&lt;&gt;"",F20&gt;0),E20/(F20*0.0001),"")</x:f>
      </x:c>
      <x:c r="H20" s="103" t="str">
        <x:f>IF(AND('Raw Measurements'!O20&gt;0,'Raw Measurements'!P20&lt;&gt;""),(('Raw Measurements'!O20-'Raw Measurements'!P20)/'Raw Measurements'!O20)*100,"")</x:f>
      </x:c>
      <x:c r="I20" s="103" t="str">
        <x:f>IF(OR(E20="",E19="",B20="",B19=""),"",((E20+E19)/2)*(B20-B19))</x:f>
      </x:c>
      <x:c r="J20" s="103" t="str">
        <x:f>IF(COUNT($I$6:I20)=0,"",SUM($I$6:I20))</x:f>
      </x:c>
      <x:c r="K20" s="109" t="str">
        <x:f>IF('Raw Measurements'!E20="Open circuit","OCV only",IF(E20="","Awaiting compatible loaded measurements","Calculated"))</x:f>
        <x:v>Awaiting compatible loaded measurements</x:v>
      </x:c>
    </x:row>
    <x:row r="21" ht="24" hidden="0" customHeight="1">
      <x:c r="A21" s="92" t="str">
        <x:f>'Raw Measurements'!A21</x:f>
        <x:v>MFC-001-T060</x:v>
      </x:c>
      <x:c r="B21" s="100" t="n">
        <x:f>'Raw Measurements'!C21</x:f>
        <x:v>60</x:v>
      </x:c>
      <x:c r="C21" s="103" t="str">
        <x:f>IF('Raw Measurements'!F21="","",'Raw Measurements'!F21/1000)</x:f>
      </x:c>
      <x:c r="D21" s="103" t="str">
        <x:f>IF('Raw Measurements'!I21&lt;&gt;"",'Raw Measurements'!I21,IF(AND('Raw Measurements'!F21&lt;&gt;"",'Raw Measurements'!H21&gt;0),'Raw Measurements'!F21/'Raw Measurements'!H21,""))</x:f>
      </x:c>
      <x:c r="E21" s="103" t="str">
        <x:f>IF(AND(C21&lt;&gt;"",D21&lt;&gt;""),C21*D21,"")</x:f>
      </x:c>
      <x:c r="F21" s="103" t="str">
        <x:f>'Experiment Metadata'!B24</x:f>
      </x:c>
      <x:c r="G21" s="103" t="str">
        <x:f>IF(AND(E21&lt;&gt;"",F21&gt;0),E21/(F21*0.0001),"")</x:f>
      </x:c>
      <x:c r="H21" s="103" t="str">
        <x:f>IF(AND('Raw Measurements'!O21&gt;0,'Raw Measurements'!P21&lt;&gt;""),(('Raw Measurements'!O21-'Raw Measurements'!P21)/'Raw Measurements'!O21)*100,"")</x:f>
      </x:c>
      <x:c r="I21" s="103" t="str">
        <x:f>IF(OR(E21="",E20="",B21="",B20=""),"",((E21+E20)/2)*(B21-B20))</x:f>
      </x:c>
      <x:c r="J21" s="103" t="str">
        <x:f>IF(COUNT($I$6:I21)=0,"",SUM($I$6:I21))</x:f>
      </x:c>
      <x:c r="K21" s="109" t="str">
        <x:f>IF('Raw Measurements'!E21="Open circuit","OCV only",IF(E21="","Awaiting compatible loaded measurements","Calculated"))</x:f>
        <x:v>Awaiting compatible loaded measurements</x:v>
      </x:c>
    </x:row>
    <x:row r="22" ht="24" hidden="0" customHeight="1">
      <x:c r="A22" s="92" t="str">
        <x:f>'Raw Measurements'!A22</x:f>
        <x:v>MFC-001-T066</x:v>
      </x:c>
      <x:c r="B22" s="100" t="n">
        <x:f>'Raw Measurements'!C22</x:f>
        <x:v>66</x:v>
      </x:c>
      <x:c r="C22" s="103" t="str">
        <x:f>IF('Raw Measurements'!F22="","",'Raw Measurements'!F22/1000)</x:f>
      </x:c>
      <x:c r="D22" s="103" t="str">
        <x:f>IF('Raw Measurements'!I22&lt;&gt;"",'Raw Measurements'!I22,IF(AND('Raw Measurements'!F22&lt;&gt;"",'Raw Measurements'!H22&gt;0),'Raw Measurements'!F22/'Raw Measurements'!H22,""))</x:f>
      </x:c>
      <x:c r="E22" s="103" t="str">
        <x:f>IF(AND(C22&lt;&gt;"",D22&lt;&gt;""),C22*D22,"")</x:f>
      </x:c>
      <x:c r="F22" s="103" t="str">
        <x:f>'Experiment Metadata'!B24</x:f>
      </x:c>
      <x:c r="G22" s="103" t="str">
        <x:f>IF(AND(E22&lt;&gt;"",F22&gt;0),E22/(F22*0.0001),"")</x:f>
      </x:c>
      <x:c r="H22" s="103" t="str">
        <x:f>IF(AND('Raw Measurements'!O22&gt;0,'Raw Measurements'!P22&lt;&gt;""),(('Raw Measurements'!O22-'Raw Measurements'!P22)/'Raw Measurements'!O22)*100,"")</x:f>
      </x:c>
      <x:c r="I22" s="103" t="str">
        <x:f>IF(OR(E22="",E21="",B22="",B21=""),"",((E22+E21)/2)*(B22-B21))</x:f>
      </x:c>
      <x:c r="J22" s="103" t="str">
        <x:f>IF(COUNT($I$6:I22)=0,"",SUM($I$6:I22))</x:f>
      </x:c>
      <x:c r="K22" s="109" t="str">
        <x:f>IF('Raw Measurements'!E22="Open circuit","OCV only",IF(E22="","Awaiting compatible loaded measurements","Calculated"))</x:f>
        <x:v>Awaiting compatible loaded measurements</x:v>
      </x:c>
    </x:row>
    <x:row r="23" ht="24" hidden="0" customHeight="1">
      <x:c r="A23" s="94" t="str">
        <x:f>'Raw Measurements'!A23</x:f>
        <x:v>MFC-001-T072</x:v>
      </x:c>
      <x:c r="B23" s="101" t="n">
        <x:f>'Raw Measurements'!C23</x:f>
        <x:v>72</x:v>
      </x:c>
      <x:c r="C23" s="104" t="str">
        <x:f>IF('Raw Measurements'!F23="","",'Raw Measurements'!F23/1000)</x:f>
      </x:c>
      <x:c r="D23" s="104" t="str">
        <x:f>IF('Raw Measurements'!I23&lt;&gt;"",'Raw Measurements'!I23,IF(AND('Raw Measurements'!F23&lt;&gt;"",'Raw Measurements'!H23&gt;0),'Raw Measurements'!F23/'Raw Measurements'!H23,""))</x:f>
      </x:c>
      <x:c r="E23" s="104" t="str">
        <x:f>IF(AND(C23&lt;&gt;"",D23&lt;&gt;""),C23*D23,"")</x:f>
      </x:c>
      <x:c r="F23" s="104" t="str">
        <x:f>'Experiment Metadata'!B24</x:f>
      </x:c>
      <x:c r="G23" s="104" t="str">
        <x:f>IF(AND(E23&lt;&gt;"",F23&gt;0),E23/(F23*0.0001),"")</x:f>
      </x:c>
      <x:c r="H23" s="104" t="str">
        <x:f>IF(AND('Raw Measurements'!O23&gt;0,'Raw Measurements'!P23&lt;&gt;""),(('Raw Measurements'!O23-'Raw Measurements'!P23)/'Raw Measurements'!O23)*100,"")</x:f>
      </x:c>
      <x:c r="I23" s="104" t="str">
        <x:f>IF(OR(E23="",E22="",B23="",B22=""),"",((E23+E22)/2)*(B23-B22))</x:f>
      </x:c>
      <x:c r="J23" s="104" t="str">
        <x:f>IF(COUNT($I$6:I23)=0,"",SUM($I$6:I23))</x:f>
      </x:c>
      <x:c r="K23" s="110" t="str">
        <x:f>IF('Raw Measurements'!E23="Open circuit","OCV only",IF(E23="","Awaiting compatible loaded measurements","Calculated"))</x:f>
        <x:v>Awaiting compatible loaded measurements</x:v>
      </x:c>
    </x:row>
  </x:sheetData>
  <x:pageMargins left="0.7" right="0.7" top="0.75" bottom="0.75" header="0.3" footer="0.3"/>
  <x:tableParts count="1">
    <x:tablePart xmlns:r="http://schemas.openxmlformats.org/officeDocument/2006/relationships" r:id="R02bbeaad39d64e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42" hidden="0" customWidth="1"/>
    <x:col min="5" max="5" width="30" hidden="0" customWidth="1"/>
    <x:col min="6" max="6" width="2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5" customHeight="1">
      <x:c r="A1" s="5" t="str">
        <x:v>Run results and completeness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5" customHeight="1">
      <x:c r="A2" s="7" t="str">
        <x:v>Formula-linked summary · empty until raw measurements are entered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15" hidden="0" customHeight="1">
      <x:c r="A4" s="13" t="str">
        <x:v>Metric</x:v>
      </x:c>
      <x:c r="B4" s="19" t="str">
        <x:v>Value</x:v>
      </x:c>
      <x:c r="C4" s="19" t="str">
        <x:v>Unit</x:v>
      </x:c>
      <x:c r="D4" s="19" t="str">
        <x:v>Interpretation</x:v>
      </x:c>
      <x:c r="E4" s="19" t="str">
        <x:v>Required evidence</x:v>
      </x:c>
      <x:c r="F4" s="14" t="str">
        <x:v>Status</x:v>
      </x:c>
      <x:c r="G4" s="3"/>
      <x:c r="H4" s="3"/>
      <x:c r="I4" s="3"/>
      <x:c r="J4" s="3"/>
    </x:row>
    <x:row r="5" ht="19.200000762939453" hidden="0" customHeight="1">
      <x:c r="A5" s="41" t="str">
        <x:v>Loaded-voltage observations</x:v>
      </x:c>
      <x:c r="B5" s="114" t="n">
        <x:f>COUNT('Raw Measurements'!F6:F23)</x:f>
        <x:v>0</x:v>
      </x:c>
      <x:c r="C5" s="50" t="str">
        <x:v>count</x:v>
      </x:c>
      <x:c r="D5" s="117" t="str">
        <x:v>Number of non-blank loaded-voltage readings</x:v>
      </x:c>
      <x:c r="E5" s="117" t="str">
        <x:v>Loaded voltage</x:v>
      </x:c>
      <x:c r="F5" s="120" t="str">
        <x:f>IF(B5=18,"Complete schedule",IF(B5=0,"No data","Partial"))</x:f>
        <x:v>No data</x:v>
      </x:c>
      <x:c r="G5" s="3"/>
      <x:c r="H5" s="3"/>
      <x:c r="I5" s="3"/>
      <x:c r="J5" s="3"/>
    </x:row>
    <x:row r="6" ht="19.200000762939453" hidden="0" customHeight="1">
      <x:c r="A6" s="42" t="str">
        <x:v>Peak loaded voltage</x:v>
      </x:c>
      <x:c r="B6" s="115" t="str">
        <x:f>IF(COUNT('Raw Measurements'!F6:F23)=0,"",MAX('Raw Measurements'!F6:F23))</x:f>
      </x:c>
      <x:c r="C6" s="51" t="str">
        <x:v>mV</x:v>
      </x:c>
      <x:c r="D6" s="118" t="str">
        <x:v>Maximum observed loaded-circuit voltage</x:v>
      </x:c>
      <x:c r="E6" s="118" t="str">
        <x:v>Loaded voltage</x:v>
      </x:c>
      <x:c r="F6" s="121" t="str">
        <x:f>IF(B6="","Missing","Available")</x:f>
        <x:v>Missing</x:v>
      </x:c>
      <x:c r="G6" s="3"/>
      <x:c r="H6" s="3"/>
      <x:c r="I6" s="3"/>
      <x:c r="J6" s="3"/>
    </x:row>
    <x:row r="7" ht="19.200000762939453" hidden="0" customHeight="1">
      <x:c r="A7" s="42" t="str">
        <x:v>Peak electrical power</x:v>
      </x:c>
      <x:c r="B7" s="115" t="str">
        <x:f>IF(COUNT(Calculations!E6:E23)=0,"",MAX(Calculations!E6:E23))</x:f>
      </x:c>
      <x:c r="C7" s="51" t="str">
        <x:v>mW</x:v>
      </x:c>
      <x:c r="D7" s="118" t="str">
        <x:v>Maximum formula-derived power</x:v>
      </x:c>
      <x:c r="E7" s="118" t="str">
        <x:v>Loaded V + R or measured I</x:v>
      </x:c>
      <x:c r="F7" s="121" t="str">
        <x:f>IF(B7="","Missing load evidence","Available")</x:f>
        <x:v>Missing load evidence</x:v>
      </x:c>
      <x:c r="G7" s="3"/>
      <x:c r="H7" s="3"/>
      <x:c r="I7" s="3"/>
      <x:c r="J7" s="3"/>
    </x:row>
    <x:row r="8" ht="19.200000762939453" hidden="0" customHeight="1">
      <x:c r="A8" s="42" t="str">
        <x:v>Peak power density</x:v>
      </x:c>
      <x:c r="B8" s="115" t="str">
        <x:f>IF(COUNT(Calculations!G6:G23)=0,"",MAX(Calculations!G6:G23))</x:f>
      </x:c>
      <x:c r="C8" s="51" t="str">
        <x:v>mW/m²</x:v>
      </x:c>
      <x:c r="D8" s="118" t="str">
        <x:v>Maximum power normalized by selected exposed area</x:v>
      </x:c>
      <x:c r="E8" s="118" t="str">
        <x:v>Power + exposed area</x:v>
      </x:c>
      <x:c r="F8" s="121" t="str">
        <x:f>IF(B8="","Missing area or power","Available")</x:f>
        <x:v>Missing area or power</x:v>
      </x:c>
      <x:c r="G8" s="3"/>
      <x:c r="H8" s="3"/>
      <x:c r="I8" s="3"/>
      <x:c r="J8" s="3"/>
    </x:row>
    <x:row r="9" ht="19.200000762939453" hidden="0" customHeight="1">
      <x:c r="A9" s="42" t="str">
        <x:v>Final COD removal</x:v>
      </x:c>
      <x:c r="B9" s="115" t="str">
        <x:f>IF(COUNT(Calculations!H6:H23)=0,"",LOOKUP(2,1/(Calculations!H6:H23&lt;&gt;""),Calculations!H6:H23))</x:f>
      </x:c>
      <x:c r="C9" s="51" t="str">
        <x:v>%</x:v>
      </x:c>
      <x:c r="D9" s="118" t="str">
        <x:v>Paired COD removal at the latest complete row</x:v>
      </x:c>
      <x:c r="E9" s="118" t="str">
        <x:v>Initial and final COD</x:v>
      </x:c>
      <x:c r="F9" s="121" t="str">
        <x:f>IF(B9="","Missing paired COD","Available")</x:f>
        <x:v>Missing paired COD</x:v>
      </x:c>
      <x:c r="G9" s="3"/>
      <x:c r="H9" s="3"/>
      <x:c r="I9" s="3"/>
      <x:c r="J9" s="3"/>
    </x:row>
    <x:row r="10" ht="24" hidden="0" customHeight="1">
      <x:c r="A10" s="42" t="str">
        <x:v>Estimated electrical energy</x:v>
      </x:c>
      <x:c r="B10" s="115" t="str">
        <x:f>IF(COUNT(Calculations!I6:I23)=0,"",SUM(Calculations!I6:I23))</x:f>
      </x:c>
      <x:c r="C10" s="51" t="str">
        <x:v>mWh</x:v>
      </x:c>
      <x:c r="D10" s="118" t="str">
        <x:v>Trapezoidal integration across adjacent valid power observations</x:v>
      </x:c>
      <x:c r="E10" s="118" t="str">
        <x:v>Sequential power observations</x:v>
      </x:c>
      <x:c r="F10" s="121" t="str">
        <x:f>IF(B10="","Insufficient time series","Available")</x:f>
        <x:v>Insufficient time series</x:v>
      </x:c>
      <x:c r="G10" s="3"/>
      <x:c r="H10" s="3"/>
      <x:c r="I10" s="3"/>
      <x:c r="J10" s="3"/>
    </x:row>
    <x:row r="11" ht="19.200000762939453" hidden="0" customHeight="1">
      <x:c r="A11" s="43" t="str">
        <x:v>Scheduled time points</x:v>
      </x:c>
      <x:c r="B11" s="116" t="n">
        <x:f>COUNTA('Raw Measurements'!C6:C23)</x:f>
        <x:v>18</x:v>
      </x:c>
      <x:c r="C11" s="52" t="str">
        <x:v>count</x:v>
      </x:c>
      <x:c r="D11" s="119" t="str">
        <x:v>Defined 72-hour schedule</x:v>
      </x:c>
      <x:c r="E11" s="119" t="str">
        <x:v>Protocol</x:v>
      </x:c>
      <x:c r="F11" s="122" t="str">
        <x:f>IF(B11=18,"Protocol ready","Check schedule")</x:f>
        <x:v>Protocol ready</x:v>
      </x:c>
      <x:c r="G11" s="3"/>
      <x:c r="H11" s="3"/>
      <x:c r="I11" s="3"/>
      <x:c r="J11" s="3"/>
    </x:row>
    <x:row r="12" ht="15" hidden="0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15" hidden="0" customHeight="1">
      <x:c r="A13" s="13" t="str">
        <x:v>Elapsed_h</x:v>
      </x:c>
      <x:c r="B13" s="14" t="str">
        <x:v>Loaded_voltage_mV</x:v>
      </x:c>
      <x:c r="C13" s="3"/>
      <x:c r="D13" s="130" t="str">
        <x:v>Plotting and interpretation boundary</x:v>
      </x:c>
      <x:c r="E13" s="130"/>
      <x:c r="F13" s="130"/>
      <x:c r="G13" s="130"/>
      <x:c r="H13" s="130"/>
      <x:c r="I13" s="130"/>
      <x:c r="J13" s="130"/>
    </x:row>
    <x:row r="14" ht="36" hidden="0" customHeight="1">
      <x:c r="A14" s="124" t="n">
        <x:f>'Raw Measurements'!C6</x:f>
        <x:v>0</x:v>
      </x:c>
      <x:c r="B14" s="125" t="str">
        <x:f>IF('Raw Measurements'!F6="","",'Raw Measurements'!F6)</x:f>
      </x:c>
      <x:c r="C14" s="3"/>
      <x:c r="D14" s="149" t="str">
        <x:v>No synthetic curve</x:v>
      </x:c>
      <x:c r="E14" s="152" t="str">
        <x:v>The blank template does not draw zero-valued data or interpolate missing observations.</x:v>
      </x:c>
      <x:c r="F14" s="152"/>
      <x:c r="G14" s="152"/>
      <x:c r="H14" s="152"/>
      <x:c r="I14" s="152"/>
      <x:c r="J14" s="153"/>
    </x:row>
    <x:row r="15" ht="24" hidden="0" customHeight="1">
      <x:c r="A15" s="126" t="n">
        <x:f>'Raw Measurements'!C7</x:f>
        <x:v>1</x:v>
      </x:c>
      <x:c r="B15" s="127" t="str">
        <x:f>IF('Raw Measurements'!F7="","",'Raw Measurements'!F7)</x:f>
      </x:c>
      <x:c r="C15" s="3"/>
      <x:c r="D15" s="150" t="str">
        <x:v>Ready when</x:v>
      </x:c>
      <x:c r="E15" s="154" t="str">
        <x:v>Plot loaded voltage against elapsed time only after measured values are present.</x:v>
      </x:c>
      <x:c r="F15" s="154"/>
      <x:c r="G15" s="154"/>
      <x:c r="H15" s="154"/>
      <x:c r="I15" s="154"/>
      <x:c r="J15" s="155"/>
    </x:row>
    <x:row r="16" ht="36" hidden="0" customHeight="1">
      <x:c r="A16" s="126" t="n">
        <x:f>'Raw Measurements'!C8</x:f>
        <x:v>2</x:v>
      </x:c>
      <x:c r="B16" s="127" t="str">
        <x:f>IF('Raw Measurements'!F8="","",'Raw Measurements'!F8)</x:f>
      </x:c>
      <x:c r="C16" s="3"/>
      <x:c r="D16" s="150" t="str">
        <x:v>Replicates</x:v>
      </x:c>
      <x:c r="E16" s="154" t="str">
        <x:v>Keep each reactor replicate identifiable; show individual traces before a summary mean.</x:v>
      </x:c>
      <x:c r="F16" s="154"/>
      <x:c r="G16" s="154"/>
      <x:c r="H16" s="154"/>
      <x:c r="I16" s="154"/>
      <x:c r="J16" s="155"/>
    </x:row>
    <x:row r="17" ht="48" hidden="0" customHeight="1">
      <x:c r="A17" s="126" t="n">
        <x:f>'Raw Measurements'!C9</x:f>
        <x:v>3</x:v>
      </x:c>
      <x:c r="B17" s="127" t="str">
        <x:f>IF('Raw Measurements'!F9="","",'Raw Measurements'!F9)</x:f>
      </x:c>
      <x:c r="C17" s="3"/>
      <x:c r="D17" s="150" t="str">
        <x:v>Polarization</x:v>
      </x:c>
      <x:c r="E17" s="154" t="str">
        <x:v>Record polarization sweeps as separate, resistance-specific observations rather than mixing them into the 72-hour time series.</x:v>
      </x:c>
      <x:c r="F17" s="154"/>
      <x:c r="G17" s="154"/>
      <x:c r="H17" s="154"/>
      <x:c r="I17" s="154"/>
      <x:c r="J17" s="155"/>
    </x:row>
    <x:row r="18" ht="36" hidden="0" customHeight="1">
      <x:c r="A18" s="126" t="n">
        <x:f>'Raw Measurements'!C10</x:f>
        <x:v>4</x:v>
      </x:c>
      <x:c r="B18" s="127" t="str">
        <x:f>IF('Raw Measurements'!F10="","",'Raw Measurements'!F10)</x:f>
      </x:c>
      <x:c r="C18" s="3"/>
      <x:c r="D18" s="151" t="str">
        <x:v>Power</x:v>
      </x:c>
      <x:c r="E18" s="156" t="str">
        <x:v>Calculate power only for loaded-circuit observations with a known resistor or measured current.</x:v>
      </x:c>
      <x:c r="F18" s="156"/>
      <x:c r="G18" s="156"/>
      <x:c r="H18" s="156"/>
      <x:c r="I18" s="156"/>
      <x:c r="J18" s="157"/>
    </x:row>
    <x:row r="19" ht="15" hidden="0" customHeight="1">
      <x:c r="A19" s="126" t="n">
        <x:f>'Raw Measurements'!C11</x:f>
        <x:v>5</x:v>
      </x:c>
      <x:c r="B19" s="127" t="str">
        <x:f>IF('Raw Measurements'!F11="","",'Raw Measurements'!F11)</x:f>
      </x:c>
      <x:c r="C19" s="3"/>
      <x:c r="D19" s="3"/>
      <x:c r="E19" s="3"/>
      <x:c r="F19" s="3"/>
      <x:c r="G19" s="3"/>
      <x:c r="H19" s="3"/>
      <x:c r="I19" s="3"/>
      <x:c r="J19" s="3"/>
    </x:row>
    <x:row r="20" ht="15" hidden="0" customHeight="1">
      <x:c r="A20" s="126" t="n">
        <x:f>'Raw Measurements'!C12</x:f>
        <x:v>6</x:v>
      </x:c>
      <x:c r="B20" s="127" t="str">
        <x:f>IF('Raw Measurements'!F12="","",'Raw Measurements'!F12)</x:f>
      </x:c>
      <x:c r="C20" s="3"/>
      <x:c r="D20" s="3"/>
      <x:c r="E20" s="3"/>
      <x:c r="F20" s="3"/>
      <x:c r="G20" s="3"/>
      <x:c r="H20" s="3"/>
      <x:c r="I20" s="3"/>
      <x:c r="J20" s="3"/>
    </x:row>
    <x:row r="21" ht="15" hidden="0" customHeight="1">
      <x:c r="A21" s="126" t="n">
        <x:f>'Raw Measurements'!C13</x:f>
        <x:v>12</x:v>
      </x:c>
      <x:c r="B21" s="127" t="str">
        <x:f>IF('Raw Measurements'!F13="","",'Raw Measurements'!F13)</x:f>
      </x:c>
      <x:c r="C21" s="3"/>
      <x:c r="D21" s="3"/>
      <x:c r="E21" s="3"/>
      <x:c r="F21" s="3"/>
      <x:c r="G21" s="3"/>
      <x:c r="H21" s="3"/>
      <x:c r="I21" s="3"/>
      <x:c r="J21" s="3"/>
    </x:row>
    <x:row r="22" ht="15" hidden="0" customHeight="1">
      <x:c r="A22" s="126" t="n">
        <x:f>'Raw Measurements'!C14</x:f>
        <x:v>18</x:v>
      </x:c>
      <x:c r="B22" s="127" t="str">
        <x:f>IF('Raw Measurements'!F14="","",'Raw Measurements'!F14)</x:f>
      </x:c>
      <x:c r="C22" s="3"/>
      <x:c r="D22" s="3"/>
      <x:c r="E22" s="3"/>
      <x:c r="F22" s="3"/>
      <x:c r="G22" s="3"/>
      <x:c r="H22" s="3"/>
      <x:c r="I22" s="3"/>
      <x:c r="J22" s="3"/>
    </x:row>
    <x:row r="23" ht="15" hidden="0" customHeight="1">
      <x:c r="A23" s="126" t="n">
        <x:f>'Raw Measurements'!C15</x:f>
        <x:v>24</x:v>
      </x:c>
      <x:c r="B23" s="127" t="str">
        <x:f>IF('Raw Measurements'!F15="","",'Raw Measurements'!F15)</x:f>
      </x:c>
      <x:c r="C23" s="3"/>
      <x:c r="D23" s="3"/>
      <x:c r="E23" s="3"/>
      <x:c r="F23" s="3"/>
      <x:c r="G23" s="3"/>
      <x:c r="H23" s="3"/>
      <x:c r="I23" s="3"/>
      <x:c r="J23" s="3"/>
    </x:row>
    <x:row r="24" ht="15" hidden="0" customHeight="1">
      <x:c r="A24" s="126" t="n">
        <x:f>'Raw Measurements'!C16</x:f>
        <x:v>30</x:v>
      </x:c>
      <x:c r="B24" s="127" t="str">
        <x:f>IF('Raw Measurements'!F16="","",'Raw Measurements'!F16)</x:f>
      </x:c>
      <x:c r="C24" s="3"/>
      <x:c r="D24" s="3"/>
      <x:c r="E24" s="3"/>
      <x:c r="F24" s="3"/>
      <x:c r="G24" s="3"/>
      <x:c r="H24" s="3"/>
      <x:c r="I24" s="3"/>
      <x:c r="J24" s="3"/>
    </x:row>
    <x:row r="25" ht="15" hidden="0" customHeight="1">
      <x:c r="A25" s="126" t="n">
        <x:f>'Raw Measurements'!C17</x:f>
        <x:v>36</x:v>
      </x:c>
      <x:c r="B25" s="127" t="str">
        <x:f>IF('Raw Measurements'!F17="","",'Raw Measurements'!F17)</x:f>
      </x:c>
      <x:c r="C25" s="3"/>
      <x:c r="D25" s="3"/>
      <x:c r="E25" s="3"/>
      <x:c r="F25" s="3"/>
      <x:c r="G25" s="3"/>
      <x:c r="H25" s="3"/>
      <x:c r="I25" s="3"/>
      <x:c r="J25" s="3"/>
    </x:row>
    <x:row r="26" ht="15" hidden="0" customHeight="1">
      <x:c r="A26" s="126" t="n">
        <x:f>'Raw Measurements'!C18</x:f>
        <x:v>42</x:v>
      </x:c>
      <x:c r="B26" s="127" t="str">
        <x:f>IF('Raw Measurements'!F18="","",'Raw Measurements'!F18)</x:f>
      </x:c>
      <x:c r="C26" s="3"/>
      <x:c r="D26" s="3"/>
      <x:c r="E26" s="3"/>
      <x:c r="F26" s="3"/>
      <x:c r="G26" s="3"/>
      <x:c r="H26" s="3"/>
      <x:c r="I26" s="3"/>
      <x:c r="J26" s="3"/>
    </x:row>
    <x:row r="27" ht="15" hidden="0" customHeight="1">
      <x:c r="A27" s="126" t="n">
        <x:f>'Raw Measurements'!C19</x:f>
        <x:v>48</x:v>
      </x:c>
      <x:c r="B27" s="127" t="str">
        <x:f>IF('Raw Measurements'!F19="","",'Raw Measurements'!F19)</x:f>
      </x:c>
      <x:c r="C27" s="3"/>
      <x:c r="D27" s="3"/>
      <x:c r="E27" s="3"/>
      <x:c r="F27" s="3"/>
      <x:c r="G27" s="3"/>
      <x:c r="H27" s="3"/>
      <x:c r="I27" s="3"/>
      <x:c r="J27" s="3"/>
    </x:row>
    <x:row r="28" ht="15" hidden="0" customHeight="1">
      <x:c r="A28" s="126" t="n">
        <x:f>'Raw Measurements'!C20</x:f>
        <x:v>54</x:v>
      </x:c>
      <x:c r="B28" s="127" t="str">
        <x:f>IF('Raw Measurements'!F20="","",'Raw Measurements'!F20)</x:f>
      </x:c>
      <x:c r="C28" s="3"/>
      <x:c r="D28" s="3"/>
      <x:c r="E28" s="3"/>
      <x:c r="F28" s="3"/>
      <x:c r="G28" s="3"/>
      <x:c r="H28" s="3"/>
      <x:c r="I28" s="3"/>
      <x:c r="J28" s="3"/>
    </x:row>
    <x:row r="29" ht="15" hidden="0" customHeight="1">
      <x:c r="A29" s="126" t="n">
        <x:f>'Raw Measurements'!C21</x:f>
        <x:v>60</x:v>
      </x:c>
      <x:c r="B29" s="127" t="str">
        <x:f>IF('Raw Measurements'!F21="","",'Raw Measurements'!F21)</x:f>
      </x:c>
      <x:c r="C29" s="3"/>
      <x:c r="D29" s="3"/>
      <x:c r="E29" s="3"/>
      <x:c r="F29" s="3"/>
      <x:c r="G29" s="3"/>
      <x:c r="H29" s="3"/>
      <x:c r="I29" s="3"/>
      <x:c r="J29" s="3"/>
    </x:row>
    <x:row r="30" ht="15" hidden="0" customHeight="1">
      <x:c r="A30" s="126" t="n">
        <x:f>'Raw Measurements'!C22</x:f>
        <x:v>66</x:v>
      </x:c>
      <x:c r="B30" s="127" t="str">
        <x:f>IF('Raw Measurements'!F22="","",'Raw Measurements'!F22)</x:f>
      </x:c>
      <x:c r="C30" s="3"/>
      <x:c r="D30" s="3"/>
      <x:c r="E30" s="3"/>
      <x:c r="F30" s="3"/>
      <x:c r="G30" s="3"/>
      <x:c r="H30" s="3"/>
      <x:c r="I30" s="3"/>
      <x:c r="J30" s="3"/>
    </x:row>
    <x:row r="31" ht="15" hidden="0" customHeight="1">
      <x:c r="A31" s="128" t="n">
        <x:f>'Raw Measurements'!C23</x:f>
        <x:v>72</x:v>
      </x:c>
      <x:c r="B31" s="129" t="str">
        <x:f>IF('Raw Measurements'!F23="","",'Raw Measurements'!F23)</x:f>
      </x:c>
      <x:c r="C31" s="3"/>
      <x:c r="D31" s="3"/>
      <x:c r="E31" s="3"/>
      <x:c r="F31" s="3"/>
      <x:c r="G31" s="3"/>
      <x:c r="H31" s="3"/>
      <x:c r="I31" s="3"/>
      <x:c r="J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</x:sheetData>
  <x:pageMargins left="0.7" right="0.7" top="0.75" bottom="0.75" header="0.3" footer="0.3"/>
</x:worksheet>
</file>